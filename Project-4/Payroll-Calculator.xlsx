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Excel/challenges/"/>
    </mc:Choice>
  </mc:AlternateContent>
  <xr:revisionPtr revIDLastSave="74" documentId="11_3792D2A33A292939ED5E26D31FBDD0DCF00C6990" xr6:coauthVersionLast="47" xr6:coauthVersionMax="47" xr10:uidLastSave="{423F95A0-8986-4042-993B-59A40F331CF4}"/>
  <bookViews>
    <workbookView xWindow="-110" yWindow="-110" windowWidth="19420" windowHeight="12220" xr2:uid="{00000000-000D-0000-FFFF-FFFF00000000}"/>
  </bookViews>
  <sheets>
    <sheet name="Challenge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1" l="1"/>
  <c r="D22" i="1"/>
  <c r="E9" i="1"/>
  <c r="E10" i="1"/>
  <c r="F10" i="1"/>
  <c r="G10" i="1"/>
  <c r="E11" i="1"/>
  <c r="F11" i="1"/>
  <c r="G11" i="1"/>
  <c r="E12" i="1"/>
  <c r="F12" i="1"/>
  <c r="G12" i="1"/>
  <c r="E13" i="1"/>
  <c r="G13" i="1" s="1"/>
  <c r="F13" i="1"/>
  <c r="E14" i="1"/>
  <c r="F14" i="1"/>
  <c r="G14" i="1"/>
  <c r="E15" i="1"/>
  <c r="F15" i="1"/>
  <c r="G15" i="1"/>
  <c r="E16" i="1"/>
  <c r="F16" i="1"/>
  <c r="G16" i="1"/>
  <c r="E17" i="1"/>
  <c r="G17" i="1" s="1"/>
  <c r="F17" i="1"/>
  <c r="E18" i="1"/>
  <c r="F18" i="1"/>
  <c r="G18" i="1"/>
  <c r="E19" i="1"/>
  <c r="F19" i="1"/>
  <c r="G19" i="1"/>
  <c r="E20" i="1"/>
  <c r="F20" i="1"/>
  <c r="G20" i="1"/>
  <c r="E21" i="1"/>
  <c r="G21" i="1" s="1"/>
  <c r="F21" i="1"/>
  <c r="F8" i="1"/>
  <c r="E8" i="1"/>
  <c r="G8" i="1" s="1"/>
  <c r="F9" i="1"/>
  <c r="G22" i="1" l="1"/>
  <c r="G9" i="1"/>
  <c r="F22" i="1"/>
  <c r="E22" i="1"/>
</calcChain>
</file>

<file path=xl/sharedStrings.xml><?xml version="1.0" encoding="utf-8"?>
<sst xmlns="http://schemas.openxmlformats.org/spreadsheetml/2006/main" count="29" uniqueCount="22">
  <si>
    <t>Pushpin Shipping</t>
  </si>
  <si>
    <t>Two Week Timesheet</t>
  </si>
  <si>
    <t>Staff Name:</t>
  </si>
  <si>
    <t>Hourly Rate</t>
  </si>
  <si>
    <t>Date Submitted:</t>
  </si>
  <si>
    <t>Overtime Rate</t>
  </si>
  <si>
    <t>Day</t>
  </si>
  <si>
    <t>Date</t>
  </si>
  <si>
    <t>Regular Hours</t>
  </si>
  <si>
    <t>Overtime Hours</t>
  </si>
  <si>
    <t>Regular Pay</t>
  </si>
  <si>
    <t>Overtime Pay</t>
  </si>
  <si>
    <t>Total</t>
  </si>
  <si>
    <t>Monday</t>
  </si>
  <si>
    <t>Saturday</t>
  </si>
  <si>
    <t>TOTAL</t>
  </si>
  <si>
    <t>Tuesday</t>
  </si>
  <si>
    <t>Wednesday</t>
  </si>
  <si>
    <t>Thursday</t>
  </si>
  <si>
    <t>Friday</t>
  </si>
  <si>
    <t>Sunday</t>
  </si>
  <si>
    <t>Sumaiya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</si>
</sst>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Gill Sans MT"/>
      <family val="2"/>
      <scheme val="minor"/>
    </font>
    <font>
      <sz val="14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sz val="11"/>
      <color theme="0"/>
      <name val="Gill Sans MT"/>
      <family val="2"/>
      <scheme val="minor"/>
    </font>
    <font>
      <b/>
      <sz val="14"/>
      <color theme="1"/>
      <name val="Gill Sans MT"/>
      <family val="2"/>
      <scheme val="minor"/>
    </font>
    <font>
      <b/>
      <sz val="20"/>
      <color theme="0"/>
      <name val="Gill Sans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4" fillId="2" borderId="0" xfId="3"/>
    <xf numFmtId="0" fontId="2" fillId="3" borderId="0" xfId="4"/>
    <xf numFmtId="14" fontId="2" fillId="3" borderId="0" xfId="4" applyNumberFormat="1"/>
    <xf numFmtId="0" fontId="3" fillId="0" borderId="1" xfId="2"/>
    <xf numFmtId="44" fontId="1" fillId="0" borderId="0" xfId="1" applyFont="1"/>
    <xf numFmtId="44" fontId="3" fillId="0" borderId="1" xfId="1" applyFont="1" applyBorder="1"/>
    <xf numFmtId="44" fontId="2" fillId="3" borderId="0" xfId="1" applyFill="1"/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</cellXfs>
  <cellStyles count="5">
    <cellStyle name="20% - Accent1" xfId="4" builtinId="30"/>
    <cellStyle name="Accent1" xfId="3" builtinId="29"/>
    <cellStyle name="Currency" xfId="1" builtinId="4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315686</xdr:colOff>
      <xdr:row>1</xdr:row>
      <xdr:rowOff>163285</xdr:rowOff>
    </xdr:from>
    <xdr:to>
      <xdr:col>20</xdr:col>
      <xdr:colOff>5373</xdr:colOff>
      <xdr:row>22</xdr:row>
      <xdr:rowOff>12211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949244" y="541843"/>
          <a:ext cx="7627187" cy="5380753"/>
        </a:xfrm>
        <a:prstGeom prst="roundRect">
          <a:avLst>
            <a:gd name="adj" fmla="val 39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/>
            <a:t>INSTRUCTIONS</a:t>
          </a:r>
        </a:p>
        <a:p>
          <a:pPr algn="l"/>
          <a:endParaRPr lang="en-AU" sz="1400"/>
        </a:p>
        <a:p>
          <a:pPr algn="l"/>
          <a:r>
            <a:rPr lang="en-AU" sz="1400" baseline="0"/>
            <a:t>* Enter your name in </a:t>
          </a:r>
          <a:r>
            <a:rPr lang="en-AU" sz="1400" b="1" baseline="0"/>
            <a:t>B4</a:t>
          </a:r>
          <a:r>
            <a:rPr lang="en-AU" sz="1400" baseline="0"/>
            <a:t> and the current date in </a:t>
          </a:r>
          <a:r>
            <a:rPr lang="en-AU" sz="1400" b="1" baseline="0"/>
            <a:t>B5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AU" sz="1400" b="1" baseline="0"/>
            <a:t>Overtime Rate</a:t>
          </a:r>
          <a:r>
            <a:rPr lang="en-AU" sz="1400" baseline="0"/>
            <a:t> is 50% more than </a:t>
          </a:r>
          <a:r>
            <a:rPr lang="en-AU" sz="1400" b="1" baseline="0"/>
            <a:t>Hourly rate</a:t>
          </a:r>
          <a:r>
            <a:rPr lang="en-AU" sz="1400" baseline="0"/>
            <a:t>, put a calculation in </a:t>
          </a:r>
          <a:r>
            <a:rPr lang="en-AU" sz="1400" b="1" baseline="0"/>
            <a:t>G5</a:t>
          </a:r>
          <a:r>
            <a:rPr lang="en-AU" sz="1400" baseline="0"/>
            <a:t> to calculate </a:t>
          </a:r>
          <a:r>
            <a:rPr lang="en-AU" sz="1400" b="1" baseline="0"/>
            <a:t>Overtime Rate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Enter the most recent Monday's Date in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B8</a:t>
          </a:r>
          <a:endParaRPr lang="en-AU" sz="1400" b="1">
            <a:effectLst/>
          </a:endParaRP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AU" sz="1400" baseline="0"/>
            <a:t>Use the fill handle to copy </a:t>
          </a:r>
          <a:r>
            <a:rPr lang="en-AU" sz="1400" b="1" baseline="0"/>
            <a:t>Day</a:t>
          </a:r>
          <a:r>
            <a:rPr lang="en-AU" sz="1400" baseline="0"/>
            <a:t>, </a:t>
          </a:r>
          <a:r>
            <a:rPr lang="en-AU" sz="1400" b="1" baseline="0"/>
            <a:t>Date</a:t>
          </a:r>
          <a:r>
            <a:rPr lang="en-AU" sz="1400" baseline="0"/>
            <a:t> and </a:t>
          </a:r>
          <a:r>
            <a:rPr lang="en-AU" sz="1400" b="1" baseline="0"/>
            <a:t>Regular Hours</a:t>
          </a:r>
          <a:r>
            <a:rPr lang="en-AU" sz="1400" baseline="0"/>
            <a:t> values down to row 21. 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AU" sz="1400" baseline="0"/>
            <a:t>Delete </a:t>
          </a:r>
          <a:r>
            <a:rPr lang="en-AU" sz="1400" b="1" baseline="0"/>
            <a:t>Regular Hours</a:t>
          </a:r>
          <a:r>
            <a:rPr lang="en-AU" sz="1400" baseline="0"/>
            <a:t> values for weekend dates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AU" sz="1400" baseline="0"/>
            <a:t>In </a:t>
          </a:r>
          <a:r>
            <a:rPr lang="en-AU" sz="1400" b="1" baseline="0"/>
            <a:t>E8</a:t>
          </a:r>
          <a:r>
            <a:rPr lang="en-AU" sz="1400" baseline="0"/>
            <a:t> enter a formula to multiply the </a:t>
          </a:r>
          <a:r>
            <a:rPr lang="en-AU" sz="1400" b="1" baseline="0"/>
            <a:t>Regular Hours</a:t>
          </a:r>
          <a:r>
            <a:rPr lang="en-AU" sz="1400" baseline="0"/>
            <a:t> by the </a:t>
          </a:r>
          <a:r>
            <a:rPr lang="en-AU" sz="1400" b="1" baseline="0"/>
            <a:t>Hourly Rate</a:t>
          </a:r>
          <a:r>
            <a:rPr lang="en-AU" sz="1400" baseline="0"/>
            <a:t> (think absolute cell ref!)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AU" sz="1400" baseline="0"/>
            <a:t>In </a:t>
          </a:r>
          <a:r>
            <a:rPr lang="en-AU" sz="1400" b="1" baseline="0"/>
            <a:t>F8</a:t>
          </a:r>
          <a:r>
            <a:rPr lang="en-AU" sz="1400" baseline="0"/>
            <a:t> 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enter a formula to multiply the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Overtime Hours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by the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Overtime Rate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In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G8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add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Regular Pay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Overtime Pay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Use the fill handle to copy all three calculations down to row 21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Add the totals for each column in cells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D22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G22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Merge and Center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cells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A1:G1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apply the Style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Accent 1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and increase the Font size to 36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Merge and Center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cells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A2:G2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apply the Style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Heading 4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Apply the Style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Accent 1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cells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A4:A5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F4:F5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A7:G7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(try using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Painter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Apply the Style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20% Accent 1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cells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B4:B5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G4:G5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Apply the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Style to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A22:G22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Format all the monetary values as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Currency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Change the Theme to </a:t>
          </a:r>
          <a:r>
            <a:rPr lang="en-AU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Slice</a:t>
          </a:r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(or any other of your choosing)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Add any personal touches (e.g. You may want to go to the View Tab and untick Gridlines)</a:t>
          </a:r>
        </a:p>
        <a:p>
          <a:pPr algn="l"/>
          <a:r>
            <a:rPr lang="en-AU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Delete this box, Save your Workbook and Congratulate yourself!</a:t>
          </a:r>
          <a:endParaRPr lang="en-AU" sz="14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Gallery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zoomScale="65" zoomScaleNormal="100" workbookViewId="0">
      <selection activeCell="A2" sqref="A2:G2"/>
    </sheetView>
  </sheetViews>
  <sheetFormatPr defaultColWidth="8.81640625" defaultRowHeight="21" x14ac:dyDescent="0.6"/>
  <cols>
    <col min="1" max="7" width="17.6328125" style="1" customWidth="1"/>
  </cols>
  <sheetData>
    <row r="1" spans="1:7" ht="29.5" x14ac:dyDescent="0.8">
      <c r="A1" s="11" t="s">
        <v>0</v>
      </c>
      <c r="B1" s="11"/>
      <c r="C1" s="11"/>
      <c r="D1" s="11"/>
      <c r="E1" s="11"/>
      <c r="F1" s="11"/>
      <c r="G1" s="11"/>
    </row>
    <row r="2" spans="1:7" x14ac:dyDescent="0.6">
      <c r="A2" s="10" t="s">
        <v>1</v>
      </c>
      <c r="B2" s="10"/>
      <c r="C2" s="10"/>
      <c r="D2" s="10"/>
      <c r="E2" s="10"/>
      <c r="F2" s="10"/>
      <c r="G2" s="10"/>
    </row>
    <row r="4" spans="1:7" x14ac:dyDescent="0.6">
      <c r="A4" s="3" t="s">
        <v>2</v>
      </c>
      <c r="B4" s="4" t="s">
        <v>21</v>
      </c>
      <c r="F4" s="3" t="s">
        <v>3</v>
      </c>
      <c r="G4" s="9">
        <v>75</v>
      </c>
    </row>
    <row r="5" spans="1:7" x14ac:dyDescent="0.6">
      <c r="A5" s="3" t="s">
        <v>4</v>
      </c>
      <c r="B5" s="5">
        <v>46156</v>
      </c>
      <c r="F5" s="3" t="s">
        <v>5</v>
      </c>
      <c r="G5" s="9">
        <f>G4*150%</f>
        <v>112.5</v>
      </c>
    </row>
    <row r="7" spans="1:7" ht="16.5" x14ac:dyDescent="0.5">
      <c r="A7" s="3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</row>
    <row r="8" spans="1:7" x14ac:dyDescent="0.6">
      <c r="A8" s="1" t="s">
        <v>13</v>
      </c>
      <c r="B8" s="2">
        <v>46153</v>
      </c>
      <c r="C8" s="1">
        <v>8</v>
      </c>
      <c r="E8" s="7">
        <f>C8*$G$4</f>
        <v>600</v>
      </c>
      <c r="F8" s="7">
        <f>D8*$G$5</f>
        <v>0</v>
      </c>
      <c r="G8" s="7">
        <f>E8+F8</f>
        <v>600</v>
      </c>
    </row>
    <row r="9" spans="1:7" x14ac:dyDescent="0.6">
      <c r="A9" s="1" t="s">
        <v>16</v>
      </c>
      <c r="B9" s="2">
        <v>46154</v>
      </c>
      <c r="C9" s="1">
        <v>8</v>
      </c>
      <c r="D9" s="1">
        <v>2</v>
      </c>
      <c r="E9" s="7">
        <f t="shared" ref="E9:E21" si="0">C9*$G$4</f>
        <v>600</v>
      </c>
      <c r="F9" s="7">
        <f t="shared" ref="F9:F21" si="1">D9*$G$5</f>
        <v>225</v>
      </c>
      <c r="G9" s="7">
        <f t="shared" ref="G9:G21" si="2">E9+F9</f>
        <v>825</v>
      </c>
    </row>
    <row r="10" spans="1:7" x14ac:dyDescent="0.6">
      <c r="A10" s="1" t="s">
        <v>17</v>
      </c>
      <c r="B10" s="2">
        <v>46155</v>
      </c>
      <c r="C10" s="1">
        <v>8</v>
      </c>
      <c r="E10" s="7">
        <f t="shared" si="0"/>
        <v>600</v>
      </c>
      <c r="F10" s="7">
        <f t="shared" si="1"/>
        <v>0</v>
      </c>
      <c r="G10" s="7">
        <f t="shared" si="2"/>
        <v>600</v>
      </c>
    </row>
    <row r="11" spans="1:7" x14ac:dyDescent="0.6">
      <c r="A11" s="1" t="s">
        <v>18</v>
      </c>
      <c r="B11" s="2">
        <v>46156</v>
      </c>
      <c r="C11" s="1">
        <v>8</v>
      </c>
      <c r="D11" s="1">
        <v>3</v>
      </c>
      <c r="E11" s="7">
        <f t="shared" si="0"/>
        <v>600</v>
      </c>
      <c r="F11" s="7">
        <f t="shared" si="1"/>
        <v>337.5</v>
      </c>
      <c r="G11" s="7">
        <f t="shared" si="2"/>
        <v>937.5</v>
      </c>
    </row>
    <row r="12" spans="1:7" x14ac:dyDescent="0.6">
      <c r="A12" s="1" t="s">
        <v>19</v>
      </c>
      <c r="B12" s="2">
        <v>46157</v>
      </c>
      <c r="E12" s="7">
        <f t="shared" si="0"/>
        <v>0</v>
      </c>
      <c r="F12" s="7">
        <f t="shared" si="1"/>
        <v>0</v>
      </c>
      <c r="G12" s="7">
        <f t="shared" si="2"/>
        <v>0</v>
      </c>
    </row>
    <row r="13" spans="1:7" x14ac:dyDescent="0.6">
      <c r="A13" s="1" t="s">
        <v>14</v>
      </c>
      <c r="B13" s="2">
        <v>46158</v>
      </c>
      <c r="E13" s="7">
        <f t="shared" si="0"/>
        <v>0</v>
      </c>
      <c r="F13" s="7">
        <f t="shared" si="1"/>
        <v>0</v>
      </c>
      <c r="G13" s="7">
        <f t="shared" si="2"/>
        <v>0</v>
      </c>
    </row>
    <row r="14" spans="1:7" x14ac:dyDescent="0.6">
      <c r="A14" s="1" t="s">
        <v>20</v>
      </c>
      <c r="B14" s="2">
        <v>46159</v>
      </c>
      <c r="C14" s="1">
        <v>8</v>
      </c>
      <c r="E14" s="7">
        <f t="shared" si="0"/>
        <v>600</v>
      </c>
      <c r="F14" s="7">
        <f t="shared" si="1"/>
        <v>0</v>
      </c>
      <c r="G14" s="7">
        <f t="shared" si="2"/>
        <v>600</v>
      </c>
    </row>
    <row r="15" spans="1:7" x14ac:dyDescent="0.6">
      <c r="A15" s="1" t="s">
        <v>13</v>
      </c>
      <c r="B15" s="2">
        <v>46160</v>
      </c>
      <c r="C15" s="1">
        <v>8</v>
      </c>
      <c r="E15" s="7">
        <f t="shared" si="0"/>
        <v>600</v>
      </c>
      <c r="F15" s="7">
        <f t="shared" si="1"/>
        <v>0</v>
      </c>
      <c r="G15" s="7">
        <f t="shared" si="2"/>
        <v>600</v>
      </c>
    </row>
    <row r="16" spans="1:7" x14ac:dyDescent="0.6">
      <c r="A16" s="1" t="s">
        <v>16</v>
      </c>
      <c r="B16" s="2">
        <v>46161</v>
      </c>
      <c r="C16" s="1">
        <v>8</v>
      </c>
      <c r="D16" s="1">
        <v>2</v>
      </c>
      <c r="E16" s="7">
        <f t="shared" si="0"/>
        <v>600</v>
      </c>
      <c r="F16" s="7">
        <f t="shared" si="1"/>
        <v>225</v>
      </c>
      <c r="G16" s="7">
        <f t="shared" si="2"/>
        <v>825</v>
      </c>
    </row>
    <row r="17" spans="1:7" x14ac:dyDescent="0.6">
      <c r="A17" s="1" t="s">
        <v>17</v>
      </c>
      <c r="B17" s="2">
        <v>46162</v>
      </c>
      <c r="C17" s="1">
        <v>8</v>
      </c>
      <c r="E17" s="7">
        <f t="shared" si="0"/>
        <v>600</v>
      </c>
      <c r="F17" s="7">
        <f t="shared" si="1"/>
        <v>0</v>
      </c>
      <c r="G17" s="7">
        <f t="shared" si="2"/>
        <v>600</v>
      </c>
    </row>
    <row r="18" spans="1:7" x14ac:dyDescent="0.6">
      <c r="A18" s="1" t="s">
        <v>18</v>
      </c>
      <c r="B18" s="2">
        <v>46163</v>
      </c>
      <c r="C18" s="1">
        <v>8</v>
      </c>
      <c r="E18" s="7">
        <f t="shared" si="0"/>
        <v>600</v>
      </c>
      <c r="F18" s="7">
        <f t="shared" si="1"/>
        <v>0</v>
      </c>
      <c r="G18" s="7">
        <f t="shared" si="2"/>
        <v>600</v>
      </c>
    </row>
    <row r="19" spans="1:7" x14ac:dyDescent="0.6">
      <c r="A19" s="1" t="s">
        <v>19</v>
      </c>
      <c r="B19" s="2">
        <v>46164</v>
      </c>
      <c r="E19" s="7">
        <f t="shared" si="0"/>
        <v>0</v>
      </c>
      <c r="F19" s="7">
        <f t="shared" si="1"/>
        <v>0</v>
      </c>
      <c r="G19" s="7">
        <f t="shared" si="2"/>
        <v>0</v>
      </c>
    </row>
    <row r="20" spans="1:7" x14ac:dyDescent="0.6">
      <c r="A20" s="1" t="s">
        <v>14</v>
      </c>
      <c r="B20" s="2">
        <v>46165</v>
      </c>
      <c r="E20" s="7">
        <f t="shared" si="0"/>
        <v>0</v>
      </c>
      <c r="F20" s="7">
        <f t="shared" si="1"/>
        <v>0</v>
      </c>
      <c r="G20" s="7">
        <f t="shared" si="2"/>
        <v>0</v>
      </c>
    </row>
    <row r="21" spans="1:7" x14ac:dyDescent="0.6">
      <c r="A21" s="1" t="s">
        <v>20</v>
      </c>
      <c r="B21" s="2">
        <v>46166</v>
      </c>
      <c r="C21" s="1">
        <v>8</v>
      </c>
      <c r="E21" s="7">
        <f t="shared" si="0"/>
        <v>600</v>
      </c>
      <c r="F21" s="7">
        <f t="shared" si="1"/>
        <v>0</v>
      </c>
      <c r="G21" s="7">
        <f t="shared" si="2"/>
        <v>600</v>
      </c>
    </row>
    <row r="22" spans="1:7" ht="17" thickBot="1" x14ac:dyDescent="0.55000000000000004">
      <c r="A22" s="6" t="s">
        <v>15</v>
      </c>
      <c r="B22" s="6"/>
      <c r="C22" s="6"/>
      <c r="D22" s="6">
        <f>SUM(D8:D21)</f>
        <v>7</v>
      </c>
      <c r="E22" s="8">
        <f t="shared" ref="E22:G22" si="3">SUM(E8:E21)</f>
        <v>6000</v>
      </c>
      <c r="F22" s="8">
        <f t="shared" si="3"/>
        <v>787.5</v>
      </c>
      <c r="G22" s="8">
        <f t="shared" si="3"/>
        <v>6787.5</v>
      </c>
    </row>
    <row r="23" spans="1:7" ht="21.5" thickTop="1" x14ac:dyDescent="0.6"/>
  </sheetData>
  <mergeCells count="2">
    <mergeCell ref="A1:G1"/>
    <mergeCell ref="A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SUMAIYA AHMED</cp:lastModifiedBy>
  <dcterms:created xsi:type="dcterms:W3CDTF">2017-06-07T07:53:34Z</dcterms:created>
  <dcterms:modified xsi:type="dcterms:W3CDTF">2026-05-13T21:28:47Z</dcterms:modified>
</cp:coreProperties>
</file>