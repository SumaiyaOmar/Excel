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252" documentId="8_{B75A6563-0ECC-4105-BA5B-DB9921083F72}" xr6:coauthVersionLast="47" xr6:coauthVersionMax="47" xr10:uidLastSave="{BBE0947D-7E41-49FF-A348-2C5DCD0CC904}"/>
  <bookViews>
    <workbookView xWindow="-110" yWindow="-110" windowWidth="19420" windowHeight="12220" activeTab="1" xr2:uid="{6EE7D7A4-AA71-4F2A-9D26-2A4C0D1BFB25}"/>
  </bookViews>
  <sheets>
    <sheet name="Product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2" l="1"/>
  <c r="E19" i="2"/>
  <c r="E29" i="2" s="1"/>
  <c r="F19" i="2"/>
  <c r="H19" i="2" s="1"/>
  <c r="E24" i="2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E5" i="2"/>
  <c r="E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E28" i="2" l="1"/>
  <c r="E27" i="2"/>
  <c r="E26" i="2"/>
  <c r="E25" i="2"/>
  <c r="E23" i="2"/>
</calcChain>
</file>

<file path=xl/sharedStrings.xml><?xml version="1.0" encoding="utf-8"?>
<sst xmlns="http://schemas.openxmlformats.org/spreadsheetml/2006/main" count="116" uniqueCount="86">
  <si>
    <t>Product ID</t>
  </si>
  <si>
    <t>Product Name</t>
  </si>
  <si>
    <t>Category</t>
  </si>
  <si>
    <t>P001</t>
  </si>
  <si>
    <t>Wireless Mouse</t>
  </si>
  <si>
    <t>Accessories</t>
  </si>
  <si>
    <t>P002</t>
  </si>
  <si>
    <t>Mechanical Keyboard</t>
  </si>
  <si>
    <t>P003</t>
  </si>
  <si>
    <t>24-inch Monitor</t>
  </si>
  <si>
    <t>Monitors</t>
  </si>
  <si>
    <t>P004</t>
  </si>
  <si>
    <t>USB-C Hub</t>
  </si>
  <si>
    <t>P005</t>
  </si>
  <si>
    <t>External SSD</t>
  </si>
  <si>
    <t>Storage</t>
  </si>
  <si>
    <t>P006</t>
  </si>
  <si>
    <t>Webcam HD</t>
  </si>
  <si>
    <t>P007</t>
  </si>
  <si>
    <t>Laptop Stand</t>
  </si>
  <si>
    <t>Office</t>
  </si>
  <si>
    <t>P008</t>
  </si>
  <si>
    <t>Bluetooth Speaker</t>
  </si>
  <si>
    <t>Audio</t>
  </si>
  <si>
    <t>P009</t>
  </si>
  <si>
    <t>Gaming Headset</t>
  </si>
  <si>
    <t>P010</t>
  </si>
  <si>
    <t>Portable Hard Drive</t>
  </si>
  <si>
    <t>P011</t>
  </si>
  <si>
    <t>Office Chair</t>
  </si>
  <si>
    <t>Furniture</t>
  </si>
  <si>
    <t>P012</t>
  </si>
  <si>
    <t>Desk Lamp</t>
  </si>
  <si>
    <t>P013</t>
  </si>
  <si>
    <t>Power Bank</t>
  </si>
  <si>
    <t>P014</t>
  </si>
  <si>
    <t>HDMI Cable</t>
  </si>
  <si>
    <t>P015</t>
  </si>
  <si>
    <t>Ergonomic Mouse Pad</t>
  </si>
  <si>
    <t>Unit Price($)</t>
  </si>
  <si>
    <t>Order ID</t>
  </si>
  <si>
    <t>Customer</t>
  </si>
  <si>
    <t>Quantity</t>
  </si>
  <si>
    <t>Total</t>
  </si>
  <si>
    <t>ORD001</t>
  </si>
  <si>
    <t>Sarah</t>
  </si>
  <si>
    <t>ORD002</t>
  </si>
  <si>
    <t>Ali</t>
  </si>
  <si>
    <t>ORD003</t>
  </si>
  <si>
    <t>John</t>
  </si>
  <si>
    <t>ORD004</t>
  </si>
  <si>
    <t>Fatima</t>
  </si>
  <si>
    <t>ORD005</t>
  </si>
  <si>
    <t>Ahmed</t>
  </si>
  <si>
    <t>ORD006</t>
  </si>
  <si>
    <t>Maria</t>
  </si>
  <si>
    <t>ORD007</t>
  </si>
  <si>
    <t>Yusuf</t>
  </si>
  <si>
    <t>ORD008</t>
  </si>
  <si>
    <t>Noor</t>
  </si>
  <si>
    <t>ORD009</t>
  </si>
  <si>
    <t>David</t>
  </si>
  <si>
    <t>ORD010</t>
  </si>
  <si>
    <t>Omar</t>
  </si>
  <si>
    <t>ORD011</t>
  </si>
  <si>
    <t>Emma</t>
  </si>
  <si>
    <t>ORD012</t>
  </si>
  <si>
    <t>Hasan</t>
  </si>
  <si>
    <t>ORD013</t>
  </si>
  <si>
    <t>Sophia</t>
  </si>
  <si>
    <t>ORD014</t>
  </si>
  <si>
    <t>Bilal</t>
  </si>
  <si>
    <t>ORD015</t>
  </si>
  <si>
    <t>Chloe</t>
  </si>
  <si>
    <t>Summary</t>
  </si>
  <si>
    <t>Values</t>
  </si>
  <si>
    <t>Total Sales</t>
  </si>
  <si>
    <t>Total Orders</t>
  </si>
  <si>
    <t>Sales from Accessories</t>
  </si>
  <si>
    <t>Sales from Audio</t>
  </si>
  <si>
    <t>Sales from Storage</t>
  </si>
  <si>
    <t>Sales from Office</t>
  </si>
  <si>
    <t>Sales from Furniture</t>
  </si>
  <si>
    <t>Product Sales &amp; Order Management System</t>
  </si>
  <si>
    <t>ORD016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</si>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</sst>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2" borderId="0" xfId="0" applyFont="1" applyFill="1" applyAlignment="1">
      <alignment horizont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A8595-7805-4A24-B985-22C4FA9F4E45}" name="Table1" displayName="Table1" ref="B4:E19" totalsRowShown="0">
  <autoFilter ref="B4:E19" xr:uid="{C29A8595-7805-4A24-B985-22C4FA9F4E45}">
    <filterColumn colId="0" hiddenButton="1"/>
    <filterColumn colId="1" hiddenButton="1"/>
    <filterColumn colId="2" hiddenButton="1"/>
    <filterColumn colId="3" hiddenButton="1"/>
  </autoFilter>
  <tableColumns count="4">
    <tableColumn id="1" xr3:uid="{D77B76E0-37CA-4FDB-8EA4-7A7851B642C4}" name="Product ID"/>
    <tableColumn id="2" xr3:uid="{DF880EBB-1C03-4266-9128-8E27ADC1CC71}" name="Product Name"/>
    <tableColumn id="3" xr3:uid="{22C8A5FA-FAF5-4541-9F25-6F694BB27E42}" name="Category"/>
    <tableColumn id="4" xr3:uid="{C1492366-4F44-4DE2-90C6-484DF0BA8990}" name="Unit Price($)" dataCellStyle="Currenc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526CF-EEC0-4490-B149-ACADF1F0F937}" name="Table2" displayName="Table2" ref="A3:H19" totalsRowShown="0">
  <autoFilter ref="A3:H19" xr:uid="{D48526CF-EEC0-4490-B149-ACADF1F0F9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7A3E962-6663-42E4-BA7A-122364A05C7B}" name="Order ID"/>
    <tableColumn id="2" xr3:uid="{7A29EA1F-EE41-426A-BFEC-8123D15AAC7C}" name="Customer"/>
    <tableColumn id="3" xr3:uid="{8D163E67-4AD3-4FBA-A683-8BF5EE14AF6F}" name="Product ID"/>
    <tableColumn id="4" xr3:uid="{892324DC-9495-4CB1-ADF2-5EE5F305978D}" name="Product Name" dataDxfId="7">
      <calculatedColumnFormula>_xlfn.XLOOKUP(C4,Product!$B$5:$B$19,Product!$C$5:$C$19)</calculatedColumnFormula>
    </tableColumn>
    <tableColumn id="5" xr3:uid="{23B0E58D-FB3A-4CA7-867E-D5FEF134E2C3}" name="Category" dataDxfId="6">
      <calculatedColumnFormula>_xlfn.XLOOKUP(C4,Product!$B$5:$B$19,Product!$D$5:$D$19)</calculatedColumnFormula>
    </tableColumn>
    <tableColumn id="6" xr3:uid="{82CBE3CB-CDCC-4A31-A2E1-5B2BD2136BE2}" name="Unit Price($)" dataCellStyle="Currency">
      <calculatedColumnFormula>_xlfn.XLOOKUP(C4,Product!$B$5:$B$19,Product!$E$5:$E$19)</calculatedColumnFormula>
    </tableColumn>
    <tableColumn id="7" xr3:uid="{E342651D-EFBA-4C0E-ACAD-2EB39497B755}" name="Quantity"/>
    <tableColumn id="8" xr3:uid="{AE55E4F8-FDDE-42E2-BC18-336B00A786C0}" name="Total" dataCellStyle="Currency">
      <calculatedColumnFormula>Table2[[#This Row],[Unit Price($)]]*Table2[[#This Row],[Quantity]]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8C95AC-E3E4-4D20-8D15-F6EBBD57760D}" name="Table3" displayName="Table3" ref="D22:E29" totalsRowShown="0">
  <autoFilter ref="D22:E29" xr:uid="{158C95AC-E3E4-4D20-8D15-F6EBBD57760D}">
    <filterColumn colId="0" hiddenButton="1"/>
    <filterColumn colId="1" hiddenButton="1"/>
  </autoFilter>
  <tableColumns count="2">
    <tableColumn id="1" xr3:uid="{77EAC9D6-8EBA-4AC4-B656-73C74A326979}" name="Summary"/>
    <tableColumn id="2" xr3:uid="{3B7DFD8A-1418-44B7-9F0F-BBC1DDF0F7E8}" name="Values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6D1B-F038-4B8C-8EC2-9F617A32BC9D}">
  <dimension ref="A1:F19"/>
  <sheetViews>
    <sheetView zoomScale="104" zoomScaleNormal="104" workbookViewId="0">
      <selection sqref="A1:F1"/>
    </sheetView>
  </sheetViews>
  <sheetFormatPr defaultRowHeight="14.5" x14ac:dyDescent="0.35"/>
  <cols>
    <col min="2" max="2" width="14.08984375" customWidth="1"/>
    <col min="3" max="3" width="23.81640625" customWidth="1"/>
    <col min="4" max="4" width="18" customWidth="1"/>
    <col min="5" max="5" width="15" customWidth="1"/>
  </cols>
  <sheetData>
    <row r="1" spans="1:6" ht="21" x14ac:dyDescent="0.5">
      <c r="A1" s="2" t="s">
        <v>83</v>
      </c>
      <c r="B1" s="2"/>
      <c r="C1" s="2"/>
      <c r="D1" s="2"/>
      <c r="E1" s="2"/>
      <c r="F1" s="2"/>
    </row>
    <row r="4" spans="1:6" x14ac:dyDescent="0.35">
      <c r="B4" t="s">
        <v>0</v>
      </c>
      <c r="C4" t="s">
        <v>1</v>
      </c>
      <c r="D4" t="s">
        <v>2</v>
      </c>
      <c r="E4" t="s">
        <v>39</v>
      </c>
    </row>
    <row r="5" spans="1:6" x14ac:dyDescent="0.35">
      <c r="B5" t="s">
        <v>3</v>
      </c>
      <c r="C5" t="s">
        <v>4</v>
      </c>
      <c r="D5" t="s">
        <v>5</v>
      </c>
      <c r="E5" s="1">
        <v>25</v>
      </c>
    </row>
    <row r="6" spans="1:6" x14ac:dyDescent="0.35">
      <c r="B6" t="s">
        <v>6</v>
      </c>
      <c r="C6" t="s">
        <v>7</v>
      </c>
      <c r="D6" t="s">
        <v>5</v>
      </c>
      <c r="E6" s="1">
        <v>80</v>
      </c>
    </row>
    <row r="7" spans="1:6" x14ac:dyDescent="0.35">
      <c r="B7" t="s">
        <v>8</v>
      </c>
      <c r="C7" t="s">
        <v>9</v>
      </c>
      <c r="D7" t="s">
        <v>10</v>
      </c>
      <c r="E7" s="1">
        <v>180</v>
      </c>
    </row>
    <row r="8" spans="1:6" x14ac:dyDescent="0.35">
      <c r="B8" t="s">
        <v>11</v>
      </c>
      <c r="C8" t="s">
        <v>12</v>
      </c>
      <c r="D8" t="s">
        <v>5</v>
      </c>
      <c r="E8" s="1">
        <v>40</v>
      </c>
    </row>
    <row r="9" spans="1:6" x14ac:dyDescent="0.35">
      <c r="B9" t="s">
        <v>13</v>
      </c>
      <c r="C9" t="s">
        <v>14</v>
      </c>
      <c r="D9" t="s">
        <v>15</v>
      </c>
      <c r="E9" s="1">
        <v>120</v>
      </c>
    </row>
    <row r="10" spans="1:6" x14ac:dyDescent="0.35">
      <c r="B10" t="s">
        <v>16</v>
      </c>
      <c r="C10" t="s">
        <v>17</v>
      </c>
      <c r="D10" t="s">
        <v>5</v>
      </c>
      <c r="E10" s="1">
        <v>55</v>
      </c>
    </row>
    <row r="11" spans="1:6" x14ac:dyDescent="0.35">
      <c r="B11" t="s">
        <v>18</v>
      </c>
      <c r="C11" t="s">
        <v>19</v>
      </c>
      <c r="D11" t="s">
        <v>20</v>
      </c>
      <c r="E11" s="1">
        <v>35</v>
      </c>
    </row>
    <row r="12" spans="1:6" x14ac:dyDescent="0.35">
      <c r="B12" t="s">
        <v>21</v>
      </c>
      <c r="C12" t="s">
        <v>22</v>
      </c>
      <c r="D12" t="s">
        <v>23</v>
      </c>
      <c r="E12" s="1">
        <v>95</v>
      </c>
    </row>
    <row r="13" spans="1:6" x14ac:dyDescent="0.35">
      <c r="B13" t="s">
        <v>24</v>
      </c>
      <c r="C13" t="s">
        <v>25</v>
      </c>
      <c r="D13" t="s">
        <v>23</v>
      </c>
      <c r="E13" s="1">
        <v>110</v>
      </c>
    </row>
    <row r="14" spans="1:6" x14ac:dyDescent="0.35">
      <c r="B14" t="s">
        <v>26</v>
      </c>
      <c r="C14" t="s">
        <v>27</v>
      </c>
      <c r="D14" t="s">
        <v>15</v>
      </c>
      <c r="E14" s="1">
        <v>90</v>
      </c>
    </row>
    <row r="15" spans="1:6" x14ac:dyDescent="0.35">
      <c r="B15" t="s">
        <v>28</v>
      </c>
      <c r="C15" t="s">
        <v>29</v>
      </c>
      <c r="D15" t="s">
        <v>30</v>
      </c>
      <c r="E15" s="1">
        <v>250</v>
      </c>
    </row>
    <row r="16" spans="1:6" x14ac:dyDescent="0.35">
      <c r="B16" t="s">
        <v>31</v>
      </c>
      <c r="C16" t="s">
        <v>32</v>
      </c>
      <c r="D16" t="s">
        <v>30</v>
      </c>
      <c r="E16" s="1">
        <v>45</v>
      </c>
    </row>
    <row r="17" spans="2:5" x14ac:dyDescent="0.35">
      <c r="B17" t="s">
        <v>33</v>
      </c>
      <c r="C17" t="s">
        <v>34</v>
      </c>
      <c r="D17" t="s">
        <v>5</v>
      </c>
      <c r="E17" s="1">
        <v>60</v>
      </c>
    </row>
    <row r="18" spans="2:5" x14ac:dyDescent="0.35">
      <c r="B18" t="s">
        <v>35</v>
      </c>
      <c r="C18" t="s">
        <v>36</v>
      </c>
      <c r="D18" t="s">
        <v>5</v>
      </c>
      <c r="E18" s="1">
        <v>15</v>
      </c>
    </row>
    <row r="19" spans="2:5" x14ac:dyDescent="0.35">
      <c r="B19" t="s">
        <v>37</v>
      </c>
      <c r="C19" t="s">
        <v>38</v>
      </c>
      <c r="D19" t="s">
        <v>20</v>
      </c>
      <c r="E19" s="1">
        <v>20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9902-70E4-4BB6-989D-F0F90558FB16}">
  <dimension ref="A1:H29"/>
  <sheetViews>
    <sheetView tabSelected="1" zoomScale="76" workbookViewId="0">
      <selection activeCell="H19" sqref="H19"/>
    </sheetView>
  </sheetViews>
  <sheetFormatPr defaultRowHeight="14.5" x14ac:dyDescent="0.35"/>
  <cols>
    <col min="1" max="1" width="15.1796875" customWidth="1"/>
    <col min="2" max="2" width="15.36328125" customWidth="1"/>
    <col min="3" max="3" width="16.54296875" customWidth="1"/>
    <col min="4" max="4" width="22.81640625" customWidth="1"/>
    <col min="5" max="5" width="14.1796875" customWidth="1"/>
    <col min="6" max="6" width="15.54296875" customWidth="1"/>
    <col min="7" max="7" width="14.36328125" customWidth="1"/>
    <col min="8" max="8" width="13.7265625" customWidth="1"/>
  </cols>
  <sheetData>
    <row r="1" spans="1:8" ht="21" x14ac:dyDescent="0.5">
      <c r="A1" s="2" t="s">
        <v>83</v>
      </c>
      <c r="B1" s="2"/>
      <c r="C1" s="2"/>
      <c r="D1" s="2"/>
      <c r="E1" s="2"/>
      <c r="F1" s="2"/>
      <c r="G1" s="2"/>
      <c r="H1" s="2"/>
    </row>
    <row r="3" spans="1:8" x14ac:dyDescent="0.35">
      <c r="A3" t="s">
        <v>40</v>
      </c>
      <c r="B3" t="s">
        <v>41</v>
      </c>
      <c r="C3" t="s">
        <v>0</v>
      </c>
      <c r="D3" t="s">
        <v>1</v>
      </c>
      <c r="E3" t="s">
        <v>2</v>
      </c>
      <c r="F3" t="s">
        <v>39</v>
      </c>
      <c r="G3" t="s">
        <v>42</v>
      </c>
      <c r="H3" t="s">
        <v>43</v>
      </c>
    </row>
    <row r="4" spans="1:8" x14ac:dyDescent="0.35">
      <c r="A4" t="s">
        <v>44</v>
      </c>
      <c r="B4" t="s">
        <v>45</v>
      </c>
      <c r="C4" t="s">
        <v>8</v>
      </c>
      <c r="D4" t="str">
        <f>_xlfn.XLOOKUP(C4,Product!$B$5:$B$19,Product!$C$5:$C$19)</f>
        <v>24-inch Monitor</v>
      </c>
      <c r="E4" t="str">
        <f>_xlfn.XLOOKUP(C4,Product!$B$5:$B$19,Product!$D$5:$D$19)</f>
        <v>Monitors</v>
      </c>
      <c r="F4" s="1">
        <f>_xlfn.XLOOKUP(C4,Product!$B$5:$B$19,Product!$E$5:$E$19)</f>
        <v>180</v>
      </c>
      <c r="G4">
        <v>2</v>
      </c>
      <c r="H4" s="1">
        <f>Table2[[#This Row],[Unit Price($)]]*Table2[[#This Row],[Quantity]]</f>
        <v>360</v>
      </c>
    </row>
    <row r="5" spans="1:8" x14ac:dyDescent="0.35">
      <c r="A5" t="s">
        <v>46</v>
      </c>
      <c r="B5" t="s">
        <v>47</v>
      </c>
      <c r="C5" t="s">
        <v>21</v>
      </c>
      <c r="D5" t="str">
        <f>_xlfn.XLOOKUP(C5,Product!$B$5:$B$19,Product!$C$5:$C$19)</f>
        <v>Bluetooth Speaker</v>
      </c>
      <c r="E5" t="str">
        <f>_xlfn.XLOOKUP(C5,Product!$B$5:$B$19,Product!$D$5:$D$19)</f>
        <v>Audio</v>
      </c>
      <c r="F5" s="1">
        <f>_xlfn.XLOOKUP(C5,Product!$B$5:$B$19,Product!$E$5:$E$19)</f>
        <v>95</v>
      </c>
      <c r="G5">
        <v>1</v>
      </c>
      <c r="H5" s="1">
        <f>Table2[[#This Row],[Unit Price($)]]*Table2[[#This Row],[Quantity]]</f>
        <v>95</v>
      </c>
    </row>
    <row r="6" spans="1:8" x14ac:dyDescent="0.35">
      <c r="A6" t="s">
        <v>48</v>
      </c>
      <c r="B6" t="s">
        <v>49</v>
      </c>
      <c r="C6" t="s">
        <v>3</v>
      </c>
      <c r="D6" t="str">
        <f>_xlfn.XLOOKUP(C6,Product!$B$5:$B$19,Product!$C$5:$C$19)</f>
        <v>Wireless Mouse</v>
      </c>
      <c r="E6" t="str">
        <f>_xlfn.XLOOKUP(C6,Product!$B$5:$B$19,Product!$D$5:$D$19)</f>
        <v>Accessories</v>
      </c>
      <c r="F6" s="1">
        <f>_xlfn.XLOOKUP(C6,Product!$B$5:$B$19,Product!$E$5:$E$19)</f>
        <v>25</v>
      </c>
      <c r="G6">
        <v>4</v>
      </c>
      <c r="H6" s="1">
        <f>Table2[[#This Row],[Unit Price($)]]*Table2[[#This Row],[Quantity]]</f>
        <v>100</v>
      </c>
    </row>
    <row r="7" spans="1:8" x14ac:dyDescent="0.35">
      <c r="A7" t="s">
        <v>50</v>
      </c>
      <c r="B7" t="s">
        <v>51</v>
      </c>
      <c r="C7" t="s">
        <v>26</v>
      </c>
      <c r="D7" t="str">
        <f>_xlfn.XLOOKUP(C7,Product!$B$5:$B$19,Product!$C$5:$C$19)</f>
        <v>Portable Hard Drive</v>
      </c>
      <c r="E7" t="str">
        <f>_xlfn.XLOOKUP(C7,Product!$B$5:$B$19,Product!$D$5:$D$19)</f>
        <v>Storage</v>
      </c>
      <c r="F7" s="1">
        <f>_xlfn.XLOOKUP(C7,Product!$B$5:$B$19,Product!$E$5:$E$19)</f>
        <v>90</v>
      </c>
      <c r="G7">
        <v>2</v>
      </c>
      <c r="H7" s="1">
        <f>Table2[[#This Row],[Unit Price($)]]*Table2[[#This Row],[Quantity]]</f>
        <v>180</v>
      </c>
    </row>
    <row r="8" spans="1:8" x14ac:dyDescent="0.35">
      <c r="A8" t="s">
        <v>52</v>
      </c>
      <c r="B8" t="s">
        <v>53</v>
      </c>
      <c r="C8" t="s">
        <v>16</v>
      </c>
      <c r="D8" t="str">
        <f>_xlfn.XLOOKUP(C8,Product!$B$5:$B$19,Product!$C$5:$C$19)</f>
        <v>Webcam HD</v>
      </c>
      <c r="E8" t="str">
        <f>_xlfn.XLOOKUP(C8,Product!$B$5:$B$19,Product!$D$5:$D$19)</f>
        <v>Accessories</v>
      </c>
      <c r="F8" s="1">
        <f>_xlfn.XLOOKUP(C8,Product!$B$5:$B$19,Product!$E$5:$E$19)</f>
        <v>55</v>
      </c>
      <c r="G8">
        <v>3</v>
      </c>
      <c r="H8" s="1">
        <f>Table2[[#This Row],[Unit Price($)]]*Table2[[#This Row],[Quantity]]</f>
        <v>165</v>
      </c>
    </row>
    <row r="9" spans="1:8" x14ac:dyDescent="0.35">
      <c r="A9" t="s">
        <v>54</v>
      </c>
      <c r="B9" t="s">
        <v>55</v>
      </c>
      <c r="C9" t="s">
        <v>37</v>
      </c>
      <c r="D9" t="str">
        <f>_xlfn.XLOOKUP(C9,Product!$B$5:$B$19,Product!$C$5:$C$19)</f>
        <v>Ergonomic Mouse Pad</v>
      </c>
      <c r="E9" t="str">
        <f>_xlfn.XLOOKUP(C9,Product!$B$5:$B$19,Product!$D$5:$D$19)</f>
        <v>Office</v>
      </c>
      <c r="F9" s="1">
        <f>_xlfn.XLOOKUP(C9,Product!$B$5:$B$19,Product!$E$5:$E$19)</f>
        <v>20</v>
      </c>
      <c r="G9">
        <v>5</v>
      </c>
      <c r="H9" s="1">
        <f>Table2[[#This Row],[Unit Price($)]]*Table2[[#This Row],[Quantity]]</f>
        <v>100</v>
      </c>
    </row>
    <row r="10" spans="1:8" x14ac:dyDescent="0.35">
      <c r="A10" t="s">
        <v>56</v>
      </c>
      <c r="B10" t="s">
        <v>57</v>
      </c>
      <c r="C10" t="s">
        <v>28</v>
      </c>
      <c r="D10" t="str">
        <f>_xlfn.XLOOKUP(C10,Product!$B$5:$B$19,Product!$C$5:$C$19)</f>
        <v>Office Chair</v>
      </c>
      <c r="E10" t="str">
        <f>_xlfn.XLOOKUP(C10,Product!$B$5:$B$19,Product!$D$5:$D$19)</f>
        <v>Furniture</v>
      </c>
      <c r="F10" s="1">
        <f>_xlfn.XLOOKUP(C10,Product!$B$5:$B$19,Product!$E$5:$E$19)</f>
        <v>250</v>
      </c>
      <c r="G10">
        <v>1</v>
      </c>
      <c r="H10" s="1">
        <f>Table2[[#This Row],[Unit Price($)]]*Table2[[#This Row],[Quantity]]</f>
        <v>250</v>
      </c>
    </row>
    <row r="11" spans="1:8" x14ac:dyDescent="0.35">
      <c r="A11" t="s">
        <v>58</v>
      </c>
      <c r="B11" t="s">
        <v>59</v>
      </c>
      <c r="C11" t="s">
        <v>13</v>
      </c>
      <c r="D11" t="str">
        <f>_xlfn.XLOOKUP(C11,Product!$B$5:$B$19,Product!$C$5:$C$19)</f>
        <v>External SSD</v>
      </c>
      <c r="E11" t="str">
        <f>_xlfn.XLOOKUP(C11,Product!$B$5:$B$19,Product!$D$5:$D$19)</f>
        <v>Storage</v>
      </c>
      <c r="F11" s="1">
        <f>_xlfn.XLOOKUP(C11,Product!$B$5:$B$19,Product!$E$5:$E$19)</f>
        <v>120</v>
      </c>
      <c r="G11">
        <v>2</v>
      </c>
      <c r="H11" s="1">
        <f>Table2[[#This Row],[Unit Price($)]]*Table2[[#This Row],[Quantity]]</f>
        <v>240</v>
      </c>
    </row>
    <row r="12" spans="1:8" x14ac:dyDescent="0.35">
      <c r="A12" t="s">
        <v>60</v>
      </c>
      <c r="B12" t="s">
        <v>61</v>
      </c>
      <c r="C12" t="s">
        <v>11</v>
      </c>
      <c r="D12" t="str">
        <f>_xlfn.XLOOKUP(C12,Product!$B$5:$B$19,Product!$C$5:$C$19)</f>
        <v>USB-C Hub</v>
      </c>
      <c r="E12" t="str">
        <f>_xlfn.XLOOKUP(C12,Product!$B$5:$B$19,Product!$D$5:$D$19)</f>
        <v>Accessories</v>
      </c>
      <c r="F12" s="1">
        <f>_xlfn.XLOOKUP(C12,Product!$B$5:$B$19,Product!$E$5:$E$19)</f>
        <v>40</v>
      </c>
      <c r="G12">
        <v>6</v>
      </c>
      <c r="H12" s="1">
        <f>Table2[[#This Row],[Unit Price($)]]*Table2[[#This Row],[Quantity]]</f>
        <v>240</v>
      </c>
    </row>
    <row r="13" spans="1:8" x14ac:dyDescent="0.35">
      <c r="A13" t="s">
        <v>62</v>
      </c>
      <c r="B13" t="s">
        <v>63</v>
      </c>
      <c r="C13" t="s">
        <v>33</v>
      </c>
      <c r="D13" t="str">
        <f>_xlfn.XLOOKUP(C13,Product!$B$5:$B$19,Product!$C$5:$C$19)</f>
        <v>Power Bank</v>
      </c>
      <c r="E13" t="str">
        <f>_xlfn.XLOOKUP(C13,Product!$B$5:$B$19,Product!$D$5:$D$19)</f>
        <v>Accessories</v>
      </c>
      <c r="F13" s="1">
        <f>_xlfn.XLOOKUP(C13,Product!$B$5:$B$19,Product!$E$5:$E$19)</f>
        <v>60</v>
      </c>
      <c r="G13">
        <v>3</v>
      </c>
      <c r="H13" s="1">
        <f>Table2[[#This Row],[Unit Price($)]]*Table2[[#This Row],[Quantity]]</f>
        <v>180</v>
      </c>
    </row>
    <row r="14" spans="1:8" x14ac:dyDescent="0.35">
      <c r="A14" t="s">
        <v>64</v>
      </c>
      <c r="B14" t="s">
        <v>65</v>
      </c>
      <c r="C14" t="s">
        <v>24</v>
      </c>
      <c r="D14" t="str">
        <f>_xlfn.XLOOKUP(C14,Product!$B$5:$B$19,Product!$C$5:$C$19)</f>
        <v>Gaming Headset</v>
      </c>
      <c r="E14" t="str">
        <f>_xlfn.XLOOKUP(C14,Product!$B$5:$B$19,Product!$D$5:$D$19)</f>
        <v>Audio</v>
      </c>
      <c r="F14" s="1">
        <f>_xlfn.XLOOKUP(C14,Product!$B$5:$B$19,Product!$E$5:$E$19)</f>
        <v>110</v>
      </c>
      <c r="G14">
        <v>2</v>
      </c>
      <c r="H14" s="1">
        <f>Table2[[#This Row],[Unit Price($)]]*Table2[[#This Row],[Quantity]]</f>
        <v>220</v>
      </c>
    </row>
    <row r="15" spans="1:8" x14ac:dyDescent="0.35">
      <c r="A15" t="s">
        <v>66</v>
      </c>
      <c r="B15" t="s">
        <v>67</v>
      </c>
      <c r="C15" t="s">
        <v>31</v>
      </c>
      <c r="D15" t="str">
        <f>_xlfn.XLOOKUP(C15,Product!$B$5:$B$19,Product!$C$5:$C$19)</f>
        <v>Desk Lamp</v>
      </c>
      <c r="E15" t="str">
        <f>_xlfn.XLOOKUP(C15,Product!$B$5:$B$19,Product!$D$5:$D$19)</f>
        <v>Furniture</v>
      </c>
      <c r="F15" s="1">
        <f>_xlfn.XLOOKUP(C15,Product!$B$5:$B$19,Product!$E$5:$E$19)</f>
        <v>45</v>
      </c>
      <c r="G15">
        <v>4</v>
      </c>
      <c r="H15" s="1">
        <f>Table2[[#This Row],[Unit Price($)]]*Table2[[#This Row],[Quantity]]</f>
        <v>180</v>
      </c>
    </row>
    <row r="16" spans="1:8" x14ac:dyDescent="0.35">
      <c r="A16" t="s">
        <v>68</v>
      </c>
      <c r="B16" t="s">
        <v>69</v>
      </c>
      <c r="C16" t="s">
        <v>35</v>
      </c>
      <c r="D16" t="str">
        <f>_xlfn.XLOOKUP(C16,Product!$B$5:$B$19,Product!$C$5:$C$19)</f>
        <v>HDMI Cable</v>
      </c>
      <c r="E16" t="str">
        <f>_xlfn.XLOOKUP(C16,Product!$B$5:$B$19,Product!$D$5:$D$19)</f>
        <v>Accessories</v>
      </c>
      <c r="F16" s="1">
        <f>_xlfn.XLOOKUP(C16,Product!$B$5:$B$19,Product!$E$5:$E$19)</f>
        <v>15</v>
      </c>
      <c r="G16">
        <v>8</v>
      </c>
      <c r="H16" s="1">
        <f>Table2[[#This Row],[Unit Price($)]]*Table2[[#This Row],[Quantity]]</f>
        <v>120</v>
      </c>
    </row>
    <row r="17" spans="1:8" x14ac:dyDescent="0.35">
      <c r="A17" t="s">
        <v>70</v>
      </c>
      <c r="B17" t="s">
        <v>71</v>
      </c>
      <c r="C17" t="s">
        <v>18</v>
      </c>
      <c r="D17" t="str">
        <f>_xlfn.XLOOKUP(C17,Product!$B$5:$B$19,Product!$C$5:$C$19)</f>
        <v>Laptop Stand</v>
      </c>
      <c r="E17" t="str">
        <f>_xlfn.XLOOKUP(C17,Product!$B$5:$B$19,Product!$D$5:$D$19)</f>
        <v>Office</v>
      </c>
      <c r="F17" s="1">
        <f>_xlfn.XLOOKUP(C17,Product!$B$5:$B$19,Product!$E$5:$E$19)</f>
        <v>35</v>
      </c>
      <c r="G17">
        <v>2</v>
      </c>
      <c r="H17" s="1">
        <f>Table2[[#This Row],[Unit Price($)]]*Table2[[#This Row],[Quantity]]</f>
        <v>70</v>
      </c>
    </row>
    <row r="18" spans="1:8" x14ac:dyDescent="0.35">
      <c r="A18" t="s">
        <v>72</v>
      </c>
      <c r="B18" t="s">
        <v>73</v>
      </c>
      <c r="C18" t="s">
        <v>6</v>
      </c>
      <c r="D18" t="str">
        <f>_xlfn.XLOOKUP(C18,Product!$B$5:$B$19,Product!$C$5:$C$19)</f>
        <v>Mechanical Keyboard</v>
      </c>
      <c r="E18" t="str">
        <f>_xlfn.XLOOKUP(C18,Product!$B$5:$B$19,Product!$D$5:$D$19)</f>
        <v>Accessories</v>
      </c>
      <c r="F18" s="1">
        <f>_xlfn.XLOOKUP(C18,Product!$B$5:$B$19,Product!$E$5:$E$19)</f>
        <v>80</v>
      </c>
      <c r="G18">
        <v>1</v>
      </c>
      <c r="H18" s="1">
        <f>Table2[[#This Row],[Unit Price($)]]*Table2[[#This Row],[Quantity]]</f>
        <v>80</v>
      </c>
    </row>
    <row r="19" spans="1:8" x14ac:dyDescent="0.35">
      <c r="A19" t="s">
        <v>84</v>
      </c>
      <c r="B19" t="s">
        <v>85</v>
      </c>
      <c r="C19" t="s">
        <v>21</v>
      </c>
      <c r="D19" s="3" t="str">
        <f>_xlfn.XLOOKUP(C19,Product!$B$5:$B$19,Product!$C$5:$C$19)</f>
        <v>Bluetooth Speaker</v>
      </c>
      <c r="E19" s="3" t="str">
        <f>_xlfn.XLOOKUP(C19,Product!$B$5:$B$19,Product!$D$5:$D$19)</f>
        <v>Audio</v>
      </c>
      <c r="F19" s="1">
        <f>_xlfn.XLOOKUP(C19,Product!$B$5:$B$19,Product!$E$5:$E$19)</f>
        <v>95</v>
      </c>
      <c r="G19">
        <v>10</v>
      </c>
      <c r="H19" s="1">
        <f>Table2[[#This Row],[Unit Price($)]]*Table2[[#This Row],[Quantity]]</f>
        <v>950</v>
      </c>
    </row>
    <row r="22" spans="1:8" x14ac:dyDescent="0.35">
      <c r="D22" t="s">
        <v>74</v>
      </c>
      <c r="E22" t="s">
        <v>75</v>
      </c>
    </row>
    <row r="23" spans="1:8" x14ac:dyDescent="0.35">
      <c r="D23" t="s">
        <v>76</v>
      </c>
      <c r="E23" s="1">
        <f>SUM(Table2[Total])</f>
        <v>3530</v>
      </c>
    </row>
    <row r="24" spans="1:8" x14ac:dyDescent="0.35">
      <c r="D24" t="s">
        <v>77</v>
      </c>
      <c r="E24" s="1">
        <f>COUNTA(Table2[Order ID])</f>
        <v>16</v>
      </c>
    </row>
    <row r="25" spans="1:8" x14ac:dyDescent="0.35">
      <c r="D25" t="s">
        <v>78</v>
      </c>
      <c r="E25" s="1">
        <f>SUMIFS($H$4:$H$19,$E$4:$E$19,"Accessories")</f>
        <v>885</v>
      </c>
    </row>
    <row r="26" spans="1:8" x14ac:dyDescent="0.35">
      <c r="D26" t="s">
        <v>79</v>
      </c>
      <c r="E26" s="1">
        <f>SUMIFS($H$4:$H$19,$E$4:$E$19,"Audio")</f>
        <v>1265</v>
      </c>
    </row>
    <row r="27" spans="1:8" x14ac:dyDescent="0.35">
      <c r="D27" t="s">
        <v>80</v>
      </c>
      <c r="E27" s="1">
        <f>SUMIFS($H$4:$H$19,$E$4:$E$19,"Storage")</f>
        <v>420</v>
      </c>
    </row>
    <row r="28" spans="1:8" x14ac:dyDescent="0.35">
      <c r="D28" t="s">
        <v>81</v>
      </c>
      <c r="E28" s="1">
        <f>SUMIFS($H$4:$H$19,$E$4:$E$19,"Office")</f>
        <v>170</v>
      </c>
    </row>
    <row r="29" spans="1:8" x14ac:dyDescent="0.35">
      <c r="D29" t="s">
        <v>82</v>
      </c>
      <c r="E29" s="1">
        <f>SUMIFS($H$4:$H$19,$E$4:$E$19,"Furniture")</f>
        <v>430</v>
      </c>
    </row>
  </sheetData>
  <mergeCells count="1">
    <mergeCell ref="A1:H1"/>
  </mergeCells>
  <conditionalFormatting sqref="H4:H19">
    <cfRule type="cellIs" dxfId="5" priority="1" operator="between">
      <formula>100</formula>
      <formula>300</formula>
    </cfRule>
    <cfRule type="cellIs" dxfId="4" priority="2" operator="lessThan">
      <formula>100</formula>
    </cfRule>
    <cfRule type="cellIs" dxfId="3" priority="3" operator="greaterThan">
      <formula>300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1BBFA8-0683-4AE2-ABFB-21ECEAC592B1}">
          <x14:formula1>
            <xm:f>Product!$B$5:$B$19</xm:f>
          </x14:formula1>
          <xm:sqref>C4:C19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2026-07-27T17:44:13Z</dcterms:created>
  <dcterms:modified xsi:type="dcterms:W3CDTF">2026-08-06T18:53:17Z</dcterms:modified>
</cp:coreProperties>
</file>