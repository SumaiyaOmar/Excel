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stedusa-my.sharepoint.com/personal/221220359_student_um_edu_sa/Documents/سطح المكتب/"/>
    </mc:Choice>
  </mc:AlternateContent>
  <xr:revisionPtr revIDLastSave="0" documentId="8_{56CDC9AA-8913-4D82-B073-6C43A91F9C6A}" xr6:coauthVersionLast="47" xr6:coauthVersionMax="47" xr10:uidLastSave="{00000000-0000-0000-0000-000000000000}"/>
  <bookViews>
    <workbookView xWindow="-110" yWindow="-110" windowWidth="19420" windowHeight="12220" xr2:uid="{24B693AC-380E-460B-A254-6CB90DB77255}"/>
  </bookViews>
  <sheets>
    <sheet name="RawData" sheetId="1" r:id="rId1"/>
    <sheet name="CleanData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5" i="2" l="1"/>
  <c r="D38" i="2"/>
  <c r="D18" i="2"/>
  <c r="D40" i="2"/>
  <c r="D6" i="2"/>
  <c r="D30" i="2"/>
  <c r="D12" i="2"/>
  <c r="D36" i="2"/>
  <c r="D3" i="2"/>
  <c r="D22" i="2"/>
  <c r="D16" i="2"/>
  <c r="D28" i="2"/>
  <c r="D10" i="2"/>
  <c r="D33" i="2"/>
  <c r="D14" i="2"/>
  <c r="D21" i="2"/>
  <c r="D9" i="2"/>
  <c r="D39" i="2"/>
  <c r="D11" i="2"/>
  <c r="D26" i="2"/>
  <c r="D19" i="2"/>
  <c r="D32" i="2"/>
  <c r="D5" i="2"/>
  <c r="D29" i="2"/>
  <c r="D17" i="2"/>
  <c r="D37" i="2"/>
  <c r="D2" i="2"/>
  <c r="D24" i="2"/>
  <c r="D15" i="2"/>
  <c r="D34" i="2"/>
  <c r="D7" i="2"/>
  <c r="D23" i="2"/>
  <c r="D20" i="2"/>
  <c r="D27" i="2"/>
  <c r="D4" i="2"/>
  <c r="D31" i="2"/>
  <c r="D13" i="2"/>
  <c r="D35" i="2"/>
  <c r="D8" i="2"/>
  <c r="H38" i="2"/>
  <c r="H25" i="2"/>
  <c r="H18" i="2"/>
  <c r="H40" i="2"/>
  <c r="H6" i="2"/>
  <c r="H30" i="2"/>
  <c r="H12" i="2"/>
  <c r="H36" i="2"/>
  <c r="H3" i="2"/>
  <c r="H22" i="2"/>
  <c r="H16" i="2"/>
  <c r="H28" i="2"/>
  <c r="H10" i="2"/>
  <c r="H33" i="2"/>
  <c r="H14" i="2"/>
  <c r="H21" i="2"/>
  <c r="H9" i="2"/>
  <c r="H39" i="2"/>
  <c r="H11" i="2"/>
  <c r="H26" i="2"/>
  <c r="H19" i="2"/>
  <c r="H32" i="2"/>
  <c r="H5" i="2"/>
  <c r="H29" i="2"/>
  <c r="H17" i="2"/>
  <c r="H37" i="2"/>
  <c r="H24" i="2"/>
  <c r="H15" i="2"/>
  <c r="H34" i="2"/>
  <c r="H7" i="2"/>
  <c r="H23" i="2"/>
  <c r="H20" i="2"/>
  <c r="H27" i="2"/>
  <c r="H4" i="2"/>
  <c r="H31" i="2"/>
  <c r="H13" i="2"/>
  <c r="H35" i="2"/>
  <c r="H8" i="2"/>
  <c r="G25" i="2"/>
  <c r="G38" i="2"/>
  <c r="G18" i="2"/>
  <c r="G40" i="2"/>
  <c r="G6" i="2"/>
  <c r="G30" i="2"/>
  <c r="G12" i="2"/>
  <c r="G36" i="2"/>
  <c r="G3" i="2"/>
  <c r="G22" i="2"/>
  <c r="G16" i="2"/>
  <c r="G28" i="2"/>
  <c r="G10" i="2"/>
  <c r="G33" i="2"/>
  <c r="G14" i="2"/>
  <c r="G21" i="2"/>
  <c r="G9" i="2"/>
  <c r="G39" i="2"/>
  <c r="G11" i="2"/>
  <c r="G26" i="2"/>
  <c r="G19" i="2"/>
  <c r="G32" i="2"/>
  <c r="G5" i="2"/>
  <c r="G29" i="2"/>
  <c r="G17" i="2"/>
  <c r="G37" i="2"/>
  <c r="G2" i="2"/>
  <c r="G24" i="2"/>
  <c r="G15" i="2"/>
  <c r="G34" i="2"/>
  <c r="G7" i="2"/>
  <c r="G23" i="2"/>
  <c r="G20" i="2"/>
  <c r="G27" i="2"/>
  <c r="G4" i="2"/>
  <c r="G31" i="2"/>
  <c r="G13" i="2"/>
  <c r="G35" i="2"/>
  <c r="G8" i="2"/>
  <c r="E25" i="2"/>
  <c r="E38" i="2"/>
  <c r="E18" i="2"/>
  <c r="E40" i="2"/>
  <c r="E6" i="2"/>
  <c r="E30" i="2"/>
  <c r="E12" i="2"/>
  <c r="E36" i="2"/>
  <c r="E3" i="2"/>
  <c r="E22" i="2"/>
  <c r="E16" i="2"/>
  <c r="E28" i="2"/>
  <c r="E10" i="2"/>
  <c r="E33" i="2"/>
  <c r="E14" i="2"/>
  <c r="E21" i="2"/>
  <c r="E9" i="2"/>
  <c r="E39" i="2"/>
  <c r="E11" i="2"/>
  <c r="E26" i="2"/>
  <c r="E19" i="2"/>
  <c r="E32" i="2"/>
  <c r="E5" i="2"/>
  <c r="E29" i="2"/>
  <c r="E17" i="2"/>
  <c r="E37" i="2"/>
  <c r="E2" i="2"/>
  <c r="E24" i="2"/>
  <c r="E15" i="2"/>
  <c r="E34" i="2"/>
  <c r="E7" i="2"/>
  <c r="E23" i="2"/>
  <c r="E20" i="2"/>
  <c r="E27" i="2"/>
  <c r="E4" i="2"/>
  <c r="E31" i="2"/>
  <c r="E13" i="2"/>
  <c r="E35" i="2"/>
  <c r="E8" i="2"/>
  <c r="C25" i="2"/>
  <c r="C38" i="2"/>
  <c r="C18" i="2"/>
  <c r="C40" i="2"/>
  <c r="C6" i="2"/>
  <c r="C30" i="2"/>
  <c r="C12" i="2"/>
  <c r="C36" i="2"/>
  <c r="C3" i="2"/>
  <c r="C22" i="2"/>
  <c r="C16" i="2"/>
  <c r="C28" i="2"/>
  <c r="C10" i="2"/>
  <c r="C33" i="2"/>
  <c r="C14" i="2"/>
  <c r="C21" i="2"/>
  <c r="C9" i="2"/>
  <c r="C39" i="2"/>
  <c r="C11" i="2"/>
  <c r="C26" i="2"/>
  <c r="C19" i="2"/>
  <c r="C32" i="2"/>
  <c r="C5" i="2"/>
  <c r="C29" i="2"/>
  <c r="C17" i="2"/>
  <c r="C37" i="2"/>
  <c r="C2" i="2"/>
  <c r="C24" i="2"/>
  <c r="C15" i="2"/>
  <c r="C34" i="2"/>
  <c r="C7" i="2"/>
  <c r="C23" i="2"/>
  <c r="C20" i="2"/>
  <c r="C27" i="2"/>
  <c r="C4" i="2"/>
  <c r="C31" i="2"/>
  <c r="C13" i="2"/>
  <c r="C35" i="2"/>
  <c r="C8" i="2"/>
  <c r="B25" i="2"/>
  <c r="B38" i="2"/>
  <c r="B18" i="2"/>
  <c r="B40" i="2"/>
  <c r="B6" i="2"/>
  <c r="B30" i="2"/>
  <c r="B12" i="2"/>
  <c r="B36" i="2"/>
  <c r="B3" i="2"/>
  <c r="B22" i="2"/>
  <c r="B16" i="2"/>
  <c r="B28" i="2"/>
  <c r="B10" i="2"/>
  <c r="B33" i="2"/>
  <c r="B14" i="2"/>
  <c r="B21" i="2"/>
  <c r="B9" i="2"/>
  <c r="B39" i="2"/>
  <c r="B11" i="2"/>
  <c r="B26" i="2"/>
  <c r="B19" i="2"/>
  <c r="B32" i="2"/>
  <c r="B5" i="2"/>
  <c r="B29" i="2"/>
  <c r="B17" i="2"/>
  <c r="B37" i="2"/>
  <c r="B2" i="2"/>
  <c r="B24" i="2"/>
  <c r="B15" i="2"/>
  <c r="B34" i="2"/>
  <c r="B7" i="2"/>
  <c r="B23" i="2"/>
  <c r="B20" i="2"/>
  <c r="B27" i="2"/>
  <c r="B4" i="2"/>
  <c r="B31" i="2"/>
  <c r="B13" i="2"/>
  <c r="B35" i="2"/>
  <c r="B8" i="2"/>
  <c r="A38" i="2"/>
  <c r="A18" i="2"/>
  <c r="A40" i="2"/>
  <c r="A6" i="2"/>
  <c r="A30" i="2"/>
  <c r="A12" i="2"/>
  <c r="A36" i="2"/>
  <c r="A3" i="2"/>
  <c r="A22" i="2"/>
  <c r="A16" i="2"/>
  <c r="A28" i="2"/>
  <c r="A10" i="2"/>
  <c r="A33" i="2"/>
  <c r="A14" i="2"/>
  <c r="A21" i="2"/>
  <c r="A9" i="2"/>
  <c r="A39" i="2"/>
  <c r="A11" i="2"/>
  <c r="A26" i="2"/>
  <c r="A19" i="2"/>
  <c r="A32" i="2"/>
  <c r="A5" i="2"/>
  <c r="A29" i="2"/>
  <c r="A17" i="2"/>
  <c r="A37" i="2"/>
  <c r="A2" i="2"/>
  <c r="A24" i="2"/>
  <c r="A15" i="2"/>
  <c r="A34" i="2"/>
  <c r="A7" i="2"/>
  <c r="A23" i="2"/>
  <c r="A20" i="2"/>
  <c r="A27" i="2"/>
  <c r="A4" i="2"/>
  <c r="A31" i="2"/>
  <c r="A13" i="2"/>
  <c r="A35" i="2"/>
  <c r="A8" i="2"/>
  <c r="A25" i="2"/>
  <c r="B2" i="3" l="1"/>
  <c r="B6" i="3"/>
  <c r="B3" i="3"/>
  <c r="B4" i="3"/>
  <c r="B5" i="3"/>
</calcChain>
</file>

<file path=xl/sharedStrings.xml><?xml version="1.0" encoding="utf-8"?>
<sst xmlns="http://schemas.openxmlformats.org/spreadsheetml/2006/main" count="282" uniqueCount="193">
  <si>
    <t>Customer ID</t>
  </si>
  <si>
    <t>Customer Name</t>
  </si>
  <si>
    <t>Email</t>
  </si>
  <si>
    <t>Phone</t>
  </si>
  <si>
    <t>City</t>
  </si>
  <si>
    <t>Country</t>
  </si>
  <si>
    <t>Registration Date</t>
  </si>
  <si>
    <t>Order Amount</t>
  </si>
  <si>
    <t>C001</t>
  </si>
  <si>
    <t xml:space="preserve">  john smith  </t>
  </si>
  <si>
    <t>JOHN.SMITH@email.com</t>
  </si>
  <si>
    <t>555-123-4567</t>
  </si>
  <si>
    <t>new york</t>
  </si>
  <si>
    <t>USA</t>
  </si>
  <si>
    <t>C002</t>
  </si>
  <si>
    <t>mary  johnson</t>
  </si>
  <si>
    <t>mary.johnson@EMAIL.com</t>
  </si>
  <si>
    <t>NEW YORK</t>
  </si>
  <si>
    <t>usa</t>
  </si>
  <si>
    <t>C003</t>
  </si>
  <si>
    <t xml:space="preserve"> DAVID WILSON</t>
  </si>
  <si>
    <t>david.wilson@email.com</t>
  </si>
  <si>
    <t>555-234-5678</t>
  </si>
  <si>
    <t>chicago</t>
  </si>
  <si>
    <t>C004</t>
  </si>
  <si>
    <t>sarah brown</t>
  </si>
  <si>
    <t>SARAH.BROWN@email.com</t>
  </si>
  <si>
    <t>CHICAGO</t>
  </si>
  <si>
    <t>C005</t>
  </si>
  <si>
    <t>Michael   Davis</t>
  </si>
  <si>
    <t>michael.davis@email.com</t>
  </si>
  <si>
    <t>555-345-6789</t>
  </si>
  <si>
    <t>los angeles</t>
  </si>
  <si>
    <t>C006</t>
  </si>
  <si>
    <t>emily  miller</t>
  </si>
  <si>
    <t>EMILY.MILLER@email.com</t>
  </si>
  <si>
    <t>Los Angeles</t>
  </si>
  <si>
    <t>C007</t>
  </si>
  <si>
    <t>James Wilson</t>
  </si>
  <si>
    <t>james.wilson@email.com</t>
  </si>
  <si>
    <t>555-456-7890</t>
  </si>
  <si>
    <t>houston</t>
  </si>
  <si>
    <t>C008</t>
  </si>
  <si>
    <t xml:space="preserve"> lisa taylor</t>
  </si>
  <si>
    <t>lisa.taylor@email.com</t>
  </si>
  <si>
    <t>HOUSTON</t>
  </si>
  <si>
    <t>C009</t>
  </si>
  <si>
    <t>Robert Anderson</t>
  </si>
  <si>
    <t>ROBERT.ANDERSON@email.com</t>
  </si>
  <si>
    <t>555-567-8901</t>
  </si>
  <si>
    <t>miami</t>
  </si>
  <si>
    <t>C010</t>
  </si>
  <si>
    <t>jennifer thomas</t>
  </si>
  <si>
    <t>jennifer.thomas@email.com</t>
  </si>
  <si>
    <t>MIAMI</t>
  </si>
  <si>
    <t>C011</t>
  </si>
  <si>
    <t xml:space="preserve">  john smith </t>
  </si>
  <si>
    <t>C012</t>
  </si>
  <si>
    <t>william jackson</t>
  </si>
  <si>
    <t>william.jackson@email.com</t>
  </si>
  <si>
    <t>555-678-9012</t>
  </si>
  <si>
    <t>dallas</t>
  </si>
  <si>
    <t>C013</t>
  </si>
  <si>
    <t xml:space="preserve"> patricia white</t>
  </si>
  <si>
    <t>PATRICIA.WHITE@email.com</t>
  </si>
  <si>
    <t>DALLAS</t>
  </si>
  <si>
    <t>C014</t>
  </si>
  <si>
    <t>charles harris</t>
  </si>
  <si>
    <t>charles.harris@email.com</t>
  </si>
  <si>
    <t>555-789-0123</t>
  </si>
  <si>
    <t>seattle</t>
  </si>
  <si>
    <t>C015</t>
  </si>
  <si>
    <t xml:space="preserve">  linda martin</t>
  </si>
  <si>
    <t>LINDA.MARTIN@email.com</t>
  </si>
  <si>
    <t>SEATTLE</t>
  </si>
  <si>
    <t>C016</t>
  </si>
  <si>
    <t>Thomas  Clark</t>
  </si>
  <si>
    <t>thomas.clark@email.com</t>
  </si>
  <si>
    <t>555-890-1234</t>
  </si>
  <si>
    <t>boston</t>
  </si>
  <si>
    <t>C017</t>
  </si>
  <si>
    <t>Susan Lewis</t>
  </si>
  <si>
    <t>susan.lewis@EMAIL.com</t>
  </si>
  <si>
    <t>BOSTON</t>
  </si>
  <si>
    <t>C018</t>
  </si>
  <si>
    <t>Christopher Lee</t>
  </si>
  <si>
    <t>christopher.lee@email.com</t>
  </si>
  <si>
    <t>555-901-2345</t>
  </si>
  <si>
    <t>denver</t>
  </si>
  <si>
    <t>C019</t>
  </si>
  <si>
    <t>Nancy walker</t>
  </si>
  <si>
    <t>nancy.walker@email.com</t>
  </si>
  <si>
    <t>DENVER</t>
  </si>
  <si>
    <t>C020</t>
  </si>
  <si>
    <t>Daniel Hall</t>
  </si>
  <si>
    <t>daniel.hall@email.com</t>
  </si>
  <si>
    <t>555-012-3456</t>
  </si>
  <si>
    <t>phoenix</t>
  </si>
  <si>
    <t>C021</t>
  </si>
  <si>
    <t>Karen  Allen</t>
  </si>
  <si>
    <t>karen.allen@email.com</t>
  </si>
  <si>
    <t>PHOENIX</t>
  </si>
  <si>
    <t>C022</t>
  </si>
  <si>
    <t xml:space="preserve"> Matthew Young</t>
  </si>
  <si>
    <t>matthew.young@EMAIL.com</t>
  </si>
  <si>
    <t>555-123-4568</t>
  </si>
  <si>
    <t>san diego</t>
  </si>
  <si>
    <t>C023</t>
  </si>
  <si>
    <t>Betty Hernandez</t>
  </si>
  <si>
    <t>betty.hernandez@email.com</t>
  </si>
  <si>
    <t>SAN DIEGO</t>
  </si>
  <si>
    <t>C024</t>
  </si>
  <si>
    <t>Donald King</t>
  </si>
  <si>
    <t>donald.king@email.com</t>
  </si>
  <si>
    <t>555-234-5680</t>
  </si>
  <si>
    <t>austin</t>
  </si>
  <si>
    <t>C025</t>
  </si>
  <si>
    <t xml:space="preserve">  Lisa  Wright</t>
  </si>
  <si>
    <t>lisa.wright@email.com</t>
  </si>
  <si>
    <t>AUSTIN</t>
  </si>
  <si>
    <t>C026</t>
  </si>
  <si>
    <t>Mark Lopez</t>
  </si>
  <si>
    <t>mark.lopez@EMAIL.com</t>
  </si>
  <si>
    <t>555-345-6790</t>
  </si>
  <si>
    <t>san antonio</t>
  </si>
  <si>
    <t>C027</t>
  </si>
  <si>
    <t>Barbara Hill</t>
  </si>
  <si>
    <t>barbara.hill@email.com</t>
  </si>
  <si>
    <t>SAN ANTONIO</t>
  </si>
  <si>
    <t>C028</t>
  </si>
  <si>
    <t>Steven Scott</t>
  </si>
  <si>
    <t>steven.scott@email.com</t>
  </si>
  <si>
    <t>555-456-7801</t>
  </si>
  <si>
    <t>portland</t>
  </si>
  <si>
    <t>C029</t>
  </si>
  <si>
    <t>Dorothy Green</t>
  </si>
  <si>
    <t>dorothy.green@email.com</t>
  </si>
  <si>
    <t>PORTLAND</t>
  </si>
  <si>
    <t>C030</t>
  </si>
  <si>
    <t>Joseph Adams</t>
  </si>
  <si>
    <t>joseph.adams@email.com</t>
  </si>
  <si>
    <t>555-567-8912</t>
  </si>
  <si>
    <t>ORLANDO</t>
  </si>
  <si>
    <t>C031</t>
  </si>
  <si>
    <t>Margaret  Baker</t>
  </si>
  <si>
    <t>margaret.baker@EMAIL.com</t>
  </si>
  <si>
    <t>orlando</t>
  </si>
  <si>
    <t>C032</t>
  </si>
  <si>
    <t>Edward Nelson</t>
  </si>
  <si>
    <t>edward.nelson@email.com</t>
  </si>
  <si>
    <t>555-678-9023</t>
  </si>
  <si>
    <t>atlanta</t>
  </si>
  <si>
    <t>C033</t>
  </si>
  <si>
    <t xml:space="preserve">  Jennifer Carter</t>
  </si>
  <si>
    <t>jennifer.carter@email.com</t>
  </si>
  <si>
    <t>ATLANTA</t>
  </si>
  <si>
    <t>C034</t>
  </si>
  <si>
    <t>George Mitchell</t>
  </si>
  <si>
    <t>george.mitchell@email.com</t>
  </si>
  <si>
    <t>555-789-0134</t>
  </si>
  <si>
    <t>charlotte</t>
  </si>
  <si>
    <t>C035</t>
  </si>
  <si>
    <t>Patricia  Perez</t>
  </si>
  <si>
    <t>patricia.perez@email.com</t>
  </si>
  <si>
    <t>CHARLOTTE</t>
  </si>
  <si>
    <t>C036</t>
  </si>
  <si>
    <t>Richard Roberts</t>
  </si>
  <si>
    <t>richard.roberts@EMAIL.com</t>
  </si>
  <si>
    <t>555-890-1245</t>
  </si>
  <si>
    <t>nashville</t>
  </si>
  <si>
    <t>C037</t>
  </si>
  <si>
    <t xml:space="preserve"> Linda Turner</t>
  </si>
  <si>
    <t>linda.turner@email.com</t>
  </si>
  <si>
    <t>NASHVILLE</t>
  </si>
  <si>
    <t>C038</t>
  </si>
  <si>
    <t>Charles Phillips</t>
  </si>
  <si>
    <t>charles.phillips@email.com</t>
  </si>
  <si>
    <t>555-901-2356</t>
  </si>
  <si>
    <t>raleigh</t>
  </si>
  <si>
    <t>C039</t>
  </si>
  <si>
    <t>Jessica Campbell</t>
  </si>
  <si>
    <t>jessica.campbell@email.com</t>
  </si>
  <si>
    <t>RALEIGH</t>
  </si>
  <si>
    <t>C040</t>
  </si>
  <si>
    <t xml:space="preserve"> Daniel Parker </t>
  </si>
  <si>
    <t>daniel.parker@email.com</t>
  </si>
  <si>
    <t>555-012-3467</t>
  </si>
  <si>
    <t>Customer Data Summary</t>
  </si>
  <si>
    <t>Total Customers</t>
  </si>
  <si>
    <t>Total Order Value</t>
  </si>
  <si>
    <t>Average Order Value</t>
  </si>
  <si>
    <t>Highest Order Value</t>
  </si>
  <si>
    <t>Lowest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</si>
</sst>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/>
    <xf numFmtId="44" fontId="0" fillId="0" borderId="5" xfId="1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44" fontId="0" fillId="0" borderId="7" xfId="0" applyNumberFormat="1" applyBorder="1" applyAlignment="1">
      <alignment vertical="center" wrapText="1"/>
    </xf>
    <xf numFmtId="44" fontId="0" fillId="0" borderId="7" xfId="1" applyFont="1" applyBorder="1" applyAlignment="1">
      <alignment vertical="center" wrapText="1"/>
    </xf>
    <xf numFmtId="0" fontId="0" fillId="0" borderId="0" xfId="0" applyBorder="1"/>
  </cellXfs>
  <cellStyles count="2">
    <cellStyle name="Currency" xfId="1" builtinId="4"/>
    <cellStyle name="Normal" xfId="0" builtinId="0"/>
  </cellStyles>
  <dxfs count="9"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09103-4E46-43DD-B910-95007F9A7222}" name="Table1" displayName="Table1" ref="A1:H40" totalsRowShown="0" headerRowDxfId="6">
  <autoFilter ref="A1:H40" xr:uid="{33A09103-4E46-43DD-B910-95007F9A7222}"/>
  <sortState xmlns:xlrd2="http://schemas.microsoft.com/office/spreadsheetml/2017/richdata2" ref="A2:H40">
    <sortCondition descending="1" ref="H2:H40"/>
  </sortState>
  <tableColumns count="8">
    <tableColumn id="1" xr3:uid="{2EBD366D-1E88-4D9A-9E35-FD2F13859D06}" name="Customer ID">
      <calculatedColumnFormula>RawData!A2</calculatedColumnFormula>
    </tableColumn>
    <tableColumn id="2" xr3:uid="{3D7C57A0-9374-43AD-A6B1-E2CFE51BEBA5}" name="Customer Name" dataDxfId="5">
      <calculatedColumnFormula>PROPER(TRIM(RawData!B2))</calculatedColumnFormula>
    </tableColumn>
    <tableColumn id="3" xr3:uid="{1465FE20-EFC4-47A8-B6C0-DCAE9A1EC5DE}" name="Email" dataDxfId="4">
      <calculatedColumnFormula>LOWER(TRIM(RawData!C2))</calculatedColumnFormula>
    </tableColumn>
    <tableColumn id="4" xr3:uid="{AA71FD7C-654C-45A6-99EB-7842E7AFE51C}" name="Phone" dataDxfId="3">
      <calculatedColumnFormula>TEXT(RawData!D2,"000-000-0000")</calculatedColumnFormula>
    </tableColumn>
    <tableColumn id="5" xr3:uid="{C39640AD-6B9C-4E62-A294-0D8D869EE1BF}" name="City" dataDxfId="2">
      <calculatedColumnFormula>PROPER(TRIM(RawData!E2))</calculatedColumnFormula>
    </tableColumn>
    <tableColumn id="6" xr3:uid="{38F6CDE4-D29D-4B04-A4FA-3255B832238F}" name="Country" dataDxfId="1"/>
    <tableColumn id="7" xr3:uid="{CDDA62EA-1232-45AF-B6C6-1D90BCAADA75}" name="Registration Date" dataDxfId="0">
      <calculatedColumnFormula>RawData!G2</calculatedColumnFormula>
    </tableColumn>
    <tableColumn id="8" xr3:uid="{BA73CC92-6F7B-4EEE-8B64-F361DA2CEB1C}" name="Order Amount" dataCellStyle="Currency">
      <calculatedColumnFormula>RawData!H2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934B-ED58-4A24-B595-FA24DDF1B4C8}">
  <dimension ref="A1:H41"/>
  <sheetViews>
    <sheetView tabSelected="1" zoomScale="72" workbookViewId="0">
      <selection activeCell="A12" sqref="A12:H12"/>
    </sheetView>
  </sheetViews>
  <sheetFormatPr defaultRowHeight="14.5" x14ac:dyDescent="0.35"/>
  <cols>
    <col min="4" max="4" width="10.90625" bestFit="1" customWidth="1"/>
    <col min="7" max="8" width="8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46143</v>
      </c>
      <c r="H2">
        <v>250</v>
      </c>
    </row>
    <row r="3" spans="1:8" x14ac:dyDescent="0.35">
      <c r="A3" t="s">
        <v>14</v>
      </c>
      <c r="B3" t="s">
        <v>15</v>
      </c>
      <c r="C3" t="s">
        <v>16</v>
      </c>
      <c r="D3">
        <v>5551234568</v>
      </c>
      <c r="E3" t="s">
        <v>17</v>
      </c>
      <c r="F3" t="s">
        <v>18</v>
      </c>
      <c r="G3" s="1">
        <v>46144</v>
      </c>
      <c r="H3">
        <v>180</v>
      </c>
    </row>
    <row r="4" spans="1:8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13</v>
      </c>
      <c r="G4" s="1">
        <v>46147</v>
      </c>
      <c r="H4">
        <v>320</v>
      </c>
    </row>
    <row r="5" spans="1:8" x14ac:dyDescent="0.35">
      <c r="A5" t="s">
        <v>24</v>
      </c>
      <c r="B5" t="s">
        <v>25</v>
      </c>
      <c r="C5" t="s">
        <v>26</v>
      </c>
      <c r="D5">
        <v>5552345679</v>
      </c>
      <c r="E5" t="s">
        <v>27</v>
      </c>
      <c r="F5" t="s">
        <v>18</v>
      </c>
      <c r="G5" s="1">
        <v>46149</v>
      </c>
      <c r="H5">
        <v>150</v>
      </c>
    </row>
    <row r="6" spans="1:8" x14ac:dyDescent="0.3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13</v>
      </c>
      <c r="G6" s="1">
        <v>46152</v>
      </c>
      <c r="H6">
        <v>450</v>
      </c>
    </row>
    <row r="7" spans="1:8" x14ac:dyDescent="0.35">
      <c r="A7" t="s">
        <v>33</v>
      </c>
      <c r="B7" t="s">
        <v>34</v>
      </c>
      <c r="C7" t="s">
        <v>35</v>
      </c>
      <c r="D7">
        <v>5553456790</v>
      </c>
      <c r="E7" t="s">
        <v>36</v>
      </c>
      <c r="F7" t="s">
        <v>18</v>
      </c>
      <c r="G7" s="1">
        <v>46154</v>
      </c>
      <c r="H7">
        <v>210</v>
      </c>
    </row>
    <row r="8" spans="1:8" x14ac:dyDescent="0.3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13</v>
      </c>
      <c r="G8" s="1">
        <v>46157</v>
      </c>
      <c r="H8">
        <v>375</v>
      </c>
    </row>
    <row r="9" spans="1:8" x14ac:dyDescent="0.35">
      <c r="A9" t="s">
        <v>42</v>
      </c>
      <c r="B9" t="s">
        <v>43</v>
      </c>
      <c r="C9" t="s">
        <v>44</v>
      </c>
      <c r="D9">
        <v>5554567891</v>
      </c>
      <c r="E9" t="s">
        <v>45</v>
      </c>
      <c r="F9" t="s">
        <v>18</v>
      </c>
      <c r="G9" s="1">
        <v>46160</v>
      </c>
      <c r="H9">
        <v>190</v>
      </c>
    </row>
    <row r="10" spans="1:8" x14ac:dyDescent="0.3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13</v>
      </c>
      <c r="G10" s="1">
        <v>46162</v>
      </c>
      <c r="H10">
        <v>500</v>
      </c>
    </row>
    <row r="11" spans="1:8" x14ac:dyDescent="0.35">
      <c r="A11" t="s">
        <v>51</v>
      </c>
      <c r="B11" t="s">
        <v>52</v>
      </c>
      <c r="C11" t="s">
        <v>53</v>
      </c>
      <c r="D11">
        <v>5555678902</v>
      </c>
      <c r="E11" t="s">
        <v>54</v>
      </c>
      <c r="F11" t="s">
        <v>18</v>
      </c>
      <c r="G11" s="1">
        <v>46164</v>
      </c>
      <c r="H11">
        <v>275</v>
      </c>
    </row>
    <row r="12" spans="1:8" x14ac:dyDescent="0.35">
      <c r="A12" t="s">
        <v>55</v>
      </c>
      <c r="B12" t="s">
        <v>56</v>
      </c>
      <c r="C12" t="s">
        <v>10</v>
      </c>
      <c r="D12" t="s">
        <v>11</v>
      </c>
      <c r="E12" t="s">
        <v>12</v>
      </c>
      <c r="F12" t="s">
        <v>13</v>
      </c>
      <c r="G12" s="1">
        <v>46143</v>
      </c>
      <c r="H12">
        <v>250</v>
      </c>
    </row>
    <row r="13" spans="1:8" x14ac:dyDescent="0.3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13</v>
      </c>
      <c r="G13" s="1">
        <v>46167</v>
      </c>
      <c r="H13">
        <v>340</v>
      </c>
    </row>
    <row r="14" spans="1:8" x14ac:dyDescent="0.35">
      <c r="A14" t="s">
        <v>62</v>
      </c>
      <c r="B14" t="s">
        <v>63</v>
      </c>
      <c r="C14" t="s">
        <v>64</v>
      </c>
      <c r="D14">
        <v>5556789013</v>
      </c>
      <c r="E14" t="s">
        <v>65</v>
      </c>
      <c r="F14" t="s">
        <v>18</v>
      </c>
      <c r="G14" s="1">
        <v>46169</v>
      </c>
      <c r="H14">
        <v>225</v>
      </c>
    </row>
    <row r="15" spans="1:8" x14ac:dyDescent="0.3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13</v>
      </c>
      <c r="G15" s="1">
        <v>46171</v>
      </c>
      <c r="H15">
        <v>410</v>
      </c>
    </row>
    <row r="16" spans="1:8" x14ac:dyDescent="0.35">
      <c r="A16" t="s">
        <v>71</v>
      </c>
      <c r="B16" t="s">
        <v>72</v>
      </c>
      <c r="C16" t="s">
        <v>73</v>
      </c>
      <c r="D16">
        <v>5557890124</v>
      </c>
      <c r="E16" t="s">
        <v>74</v>
      </c>
      <c r="F16" t="s">
        <v>18</v>
      </c>
      <c r="G16" s="1">
        <v>46172</v>
      </c>
      <c r="H16">
        <v>195</v>
      </c>
    </row>
    <row r="17" spans="1:8" x14ac:dyDescent="0.3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13</v>
      </c>
      <c r="G17" s="1">
        <v>46174</v>
      </c>
      <c r="H17">
        <v>360</v>
      </c>
    </row>
    <row r="18" spans="1:8" x14ac:dyDescent="0.35">
      <c r="A18" t="s">
        <v>80</v>
      </c>
      <c r="B18" t="s">
        <v>81</v>
      </c>
      <c r="C18" t="s">
        <v>82</v>
      </c>
      <c r="D18">
        <v>5558901235</v>
      </c>
      <c r="E18" t="s">
        <v>83</v>
      </c>
      <c r="F18" t="s">
        <v>18</v>
      </c>
      <c r="G18" s="1">
        <v>46176</v>
      </c>
      <c r="H18">
        <v>285</v>
      </c>
    </row>
    <row r="19" spans="1:8" x14ac:dyDescent="0.3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13</v>
      </c>
      <c r="G19" s="1">
        <v>46178</v>
      </c>
      <c r="H19">
        <v>420</v>
      </c>
    </row>
    <row r="20" spans="1:8" x14ac:dyDescent="0.35">
      <c r="A20" t="s">
        <v>89</v>
      </c>
      <c r="B20" t="s">
        <v>90</v>
      </c>
      <c r="C20" t="s">
        <v>91</v>
      </c>
      <c r="D20">
        <v>5559012346</v>
      </c>
      <c r="E20" t="s">
        <v>92</v>
      </c>
      <c r="F20" t="s">
        <v>13</v>
      </c>
      <c r="G20" s="1">
        <v>46180</v>
      </c>
      <c r="H20">
        <v>175</v>
      </c>
    </row>
    <row r="21" spans="1:8" x14ac:dyDescent="0.35">
      <c r="A21" t="s">
        <v>93</v>
      </c>
      <c r="B21" t="s">
        <v>94</v>
      </c>
      <c r="C21" t="s">
        <v>95</v>
      </c>
      <c r="D21" t="s">
        <v>96</v>
      </c>
      <c r="E21" t="s">
        <v>97</v>
      </c>
      <c r="F21" t="s">
        <v>18</v>
      </c>
      <c r="G21" s="1">
        <v>46183</v>
      </c>
      <c r="H21">
        <v>390</v>
      </c>
    </row>
    <row r="22" spans="1:8" x14ac:dyDescent="0.35">
      <c r="A22" t="s">
        <v>98</v>
      </c>
      <c r="B22" t="s">
        <v>99</v>
      </c>
      <c r="C22" t="s">
        <v>100</v>
      </c>
      <c r="D22">
        <v>5550123457</v>
      </c>
      <c r="E22" t="s">
        <v>101</v>
      </c>
      <c r="F22" t="s">
        <v>13</v>
      </c>
      <c r="G22" s="1">
        <v>46185</v>
      </c>
      <c r="H22">
        <v>240</v>
      </c>
    </row>
    <row r="23" spans="1:8" x14ac:dyDescent="0.35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t="s">
        <v>13</v>
      </c>
      <c r="G23" s="1">
        <v>46188</v>
      </c>
      <c r="H23">
        <v>315</v>
      </c>
    </row>
    <row r="24" spans="1:8" x14ac:dyDescent="0.35">
      <c r="A24" t="s">
        <v>107</v>
      </c>
      <c r="B24" t="s">
        <v>108</v>
      </c>
      <c r="C24" t="s">
        <v>109</v>
      </c>
      <c r="D24">
        <v>5551234569</v>
      </c>
      <c r="E24" t="s">
        <v>110</v>
      </c>
      <c r="F24" t="s">
        <v>18</v>
      </c>
      <c r="G24" s="1">
        <v>46190</v>
      </c>
      <c r="H24">
        <v>200</v>
      </c>
    </row>
    <row r="25" spans="1:8" x14ac:dyDescent="0.35">
      <c r="A25" t="s">
        <v>111</v>
      </c>
      <c r="B25" t="s">
        <v>112</v>
      </c>
      <c r="C25" t="s">
        <v>113</v>
      </c>
      <c r="D25" t="s">
        <v>114</v>
      </c>
      <c r="E25" t="s">
        <v>115</v>
      </c>
      <c r="F25" t="s">
        <v>13</v>
      </c>
      <c r="G25" s="1">
        <v>46193</v>
      </c>
      <c r="H25">
        <v>475</v>
      </c>
    </row>
    <row r="26" spans="1:8" x14ac:dyDescent="0.35">
      <c r="A26" t="s">
        <v>116</v>
      </c>
      <c r="B26" t="s">
        <v>117</v>
      </c>
      <c r="C26" t="s">
        <v>118</v>
      </c>
      <c r="D26">
        <v>5552345681</v>
      </c>
      <c r="E26" t="s">
        <v>119</v>
      </c>
      <c r="F26" t="s">
        <v>18</v>
      </c>
      <c r="G26" s="1">
        <v>46195</v>
      </c>
      <c r="H26">
        <v>220</v>
      </c>
    </row>
    <row r="27" spans="1:8" x14ac:dyDescent="0.35">
      <c r="A27" t="s">
        <v>120</v>
      </c>
      <c r="B27" t="s">
        <v>121</v>
      </c>
      <c r="C27" t="s">
        <v>122</v>
      </c>
      <c r="D27" t="s">
        <v>123</v>
      </c>
      <c r="E27" t="s">
        <v>124</v>
      </c>
      <c r="F27" t="s">
        <v>13</v>
      </c>
      <c r="G27" s="1">
        <v>46198</v>
      </c>
      <c r="H27">
        <v>330</v>
      </c>
    </row>
    <row r="28" spans="1:8" x14ac:dyDescent="0.35">
      <c r="A28" t="s">
        <v>125</v>
      </c>
      <c r="B28" t="s">
        <v>126</v>
      </c>
      <c r="C28" t="s">
        <v>127</v>
      </c>
      <c r="D28">
        <v>5553456791</v>
      </c>
      <c r="E28" t="s">
        <v>128</v>
      </c>
      <c r="F28" t="s">
        <v>18</v>
      </c>
      <c r="G28" s="1">
        <v>46200</v>
      </c>
      <c r="H28">
        <v>185</v>
      </c>
    </row>
    <row r="29" spans="1:8" x14ac:dyDescent="0.35">
      <c r="A29" t="s">
        <v>129</v>
      </c>
      <c r="B29" t="s">
        <v>130</v>
      </c>
      <c r="C29" t="s">
        <v>131</v>
      </c>
      <c r="D29" t="s">
        <v>132</v>
      </c>
      <c r="E29" t="s">
        <v>133</v>
      </c>
      <c r="F29" t="s">
        <v>13</v>
      </c>
      <c r="G29" s="1">
        <v>46203</v>
      </c>
      <c r="H29">
        <v>510</v>
      </c>
    </row>
    <row r="30" spans="1:8" x14ac:dyDescent="0.35">
      <c r="A30" t="s">
        <v>134</v>
      </c>
      <c r="B30" t="s">
        <v>135</v>
      </c>
      <c r="C30" t="s">
        <v>136</v>
      </c>
      <c r="D30">
        <v>5554567802</v>
      </c>
      <c r="E30" t="s">
        <v>137</v>
      </c>
      <c r="F30" t="s">
        <v>18</v>
      </c>
      <c r="G30" s="1">
        <v>46205</v>
      </c>
      <c r="H30">
        <v>265</v>
      </c>
    </row>
    <row r="31" spans="1:8" x14ac:dyDescent="0.35">
      <c r="A31" t="s">
        <v>138</v>
      </c>
      <c r="B31" t="s">
        <v>139</v>
      </c>
      <c r="C31" t="s">
        <v>140</v>
      </c>
      <c r="D31" t="s">
        <v>141</v>
      </c>
      <c r="E31" t="s">
        <v>142</v>
      </c>
      <c r="F31" t="s">
        <v>13</v>
      </c>
      <c r="G31" s="1">
        <v>46208</v>
      </c>
      <c r="H31">
        <v>355</v>
      </c>
    </row>
    <row r="32" spans="1:8" x14ac:dyDescent="0.35">
      <c r="A32" t="s">
        <v>143</v>
      </c>
      <c r="B32" t="s">
        <v>144</v>
      </c>
      <c r="C32" t="s">
        <v>145</v>
      </c>
      <c r="D32">
        <v>5555678913</v>
      </c>
      <c r="E32" t="s">
        <v>146</v>
      </c>
      <c r="F32" t="s">
        <v>18</v>
      </c>
      <c r="G32" s="1">
        <v>46210</v>
      </c>
      <c r="H32">
        <v>195</v>
      </c>
    </row>
    <row r="33" spans="1:8" x14ac:dyDescent="0.35">
      <c r="A33" t="s">
        <v>147</v>
      </c>
      <c r="B33" t="s">
        <v>148</v>
      </c>
      <c r="C33" t="s">
        <v>149</v>
      </c>
      <c r="D33" t="s">
        <v>150</v>
      </c>
      <c r="E33" t="s">
        <v>151</v>
      </c>
      <c r="F33" t="s">
        <v>13</v>
      </c>
      <c r="G33" s="1">
        <v>46213</v>
      </c>
      <c r="H33">
        <v>440</v>
      </c>
    </row>
    <row r="34" spans="1:8" x14ac:dyDescent="0.35">
      <c r="A34" t="s">
        <v>152</v>
      </c>
      <c r="B34" t="s">
        <v>153</v>
      </c>
      <c r="C34" t="s">
        <v>154</v>
      </c>
      <c r="D34">
        <v>5556789024</v>
      </c>
      <c r="E34" t="s">
        <v>155</v>
      </c>
      <c r="F34" t="s">
        <v>18</v>
      </c>
      <c r="G34" s="1">
        <v>46215</v>
      </c>
      <c r="H34">
        <v>275</v>
      </c>
    </row>
    <row r="35" spans="1:8" x14ac:dyDescent="0.35">
      <c r="A35" t="s">
        <v>156</v>
      </c>
      <c r="B35" t="s">
        <v>157</v>
      </c>
      <c r="C35" t="s">
        <v>158</v>
      </c>
      <c r="D35" t="s">
        <v>159</v>
      </c>
      <c r="E35" t="s">
        <v>160</v>
      </c>
      <c r="F35" t="s">
        <v>13</v>
      </c>
      <c r="G35" s="1">
        <v>46218</v>
      </c>
      <c r="H35">
        <v>310</v>
      </c>
    </row>
    <row r="36" spans="1:8" x14ac:dyDescent="0.35">
      <c r="A36" t="s">
        <v>161</v>
      </c>
      <c r="B36" t="s">
        <v>162</v>
      </c>
      <c r="C36" t="s">
        <v>163</v>
      </c>
      <c r="D36">
        <v>5557890135</v>
      </c>
      <c r="E36" t="s">
        <v>164</v>
      </c>
      <c r="F36" t="s">
        <v>18</v>
      </c>
      <c r="G36" s="1">
        <v>46220</v>
      </c>
      <c r="H36">
        <v>230</v>
      </c>
    </row>
    <row r="37" spans="1:8" x14ac:dyDescent="0.35">
      <c r="A37" t="s">
        <v>165</v>
      </c>
      <c r="B37" t="s">
        <v>166</v>
      </c>
      <c r="C37" t="s">
        <v>167</v>
      </c>
      <c r="D37" t="s">
        <v>168</v>
      </c>
      <c r="E37" t="s">
        <v>169</v>
      </c>
      <c r="F37" t="s">
        <v>13</v>
      </c>
      <c r="G37" s="1">
        <v>46223</v>
      </c>
      <c r="H37">
        <v>485</v>
      </c>
    </row>
    <row r="38" spans="1:8" x14ac:dyDescent="0.35">
      <c r="A38" t="s">
        <v>170</v>
      </c>
      <c r="B38" t="s">
        <v>171</v>
      </c>
      <c r="C38" t="s">
        <v>172</v>
      </c>
      <c r="D38">
        <v>5558901246</v>
      </c>
      <c r="E38" t="s">
        <v>173</v>
      </c>
      <c r="F38" t="s">
        <v>18</v>
      </c>
      <c r="G38" s="1">
        <v>46225</v>
      </c>
      <c r="H38">
        <v>210</v>
      </c>
    </row>
    <row r="39" spans="1:8" x14ac:dyDescent="0.35">
      <c r="A39" t="s">
        <v>174</v>
      </c>
      <c r="B39" t="s">
        <v>175</v>
      </c>
      <c r="C39" t="s">
        <v>176</v>
      </c>
      <c r="D39" t="s">
        <v>177</v>
      </c>
      <c r="E39" t="s">
        <v>178</v>
      </c>
      <c r="F39" t="s">
        <v>13</v>
      </c>
      <c r="G39" s="1">
        <v>46228</v>
      </c>
      <c r="H39">
        <v>365</v>
      </c>
    </row>
    <row r="40" spans="1:8" x14ac:dyDescent="0.35">
      <c r="A40" t="s">
        <v>179</v>
      </c>
      <c r="B40" t="s">
        <v>180</v>
      </c>
      <c r="C40" t="s">
        <v>181</v>
      </c>
      <c r="D40">
        <v>5559012357</v>
      </c>
      <c r="E40" t="s">
        <v>182</v>
      </c>
      <c r="F40" t="s">
        <v>18</v>
      </c>
      <c r="G40" s="1">
        <v>46230</v>
      </c>
      <c r="H40">
        <v>195</v>
      </c>
    </row>
    <row r="41" spans="1:8" x14ac:dyDescent="0.35">
      <c r="A41" t="s">
        <v>183</v>
      </c>
      <c r="B41" t="s">
        <v>184</v>
      </c>
      <c r="C41" t="s">
        <v>185</v>
      </c>
      <c r="D41" t="s">
        <v>186</v>
      </c>
      <c r="E41" t="s">
        <v>97</v>
      </c>
      <c r="F41" t="s">
        <v>13</v>
      </c>
      <c r="G41" s="1">
        <v>46233</v>
      </c>
      <c r="H41">
        <v>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A799-C3E9-45E5-BF79-2A234D7E5DE5}">
  <dimension ref="A1:I40"/>
  <sheetViews>
    <sheetView zoomScale="65" zoomScaleNormal="87" workbookViewId="0">
      <pane ySplit="1" topLeftCell="A2" activePane="bottomLeft" state="frozen"/>
      <selection pane="bottomLeft" activeCell="C16" sqref="C16"/>
    </sheetView>
  </sheetViews>
  <sheetFormatPr defaultRowHeight="14.5" x14ac:dyDescent="0.35"/>
  <cols>
    <col min="1" max="1" width="15.36328125" customWidth="1"/>
    <col min="2" max="2" width="18.81640625" customWidth="1"/>
    <col min="3" max="3" width="29.6328125" customWidth="1"/>
    <col min="4" max="4" width="13.26953125" customWidth="1"/>
    <col min="5" max="5" width="10.36328125" bestFit="1" customWidth="1"/>
    <col min="6" max="6" width="12.90625" bestFit="1" customWidth="1"/>
    <col min="7" max="7" width="20.81640625" style="1" bestFit="1" customWidth="1"/>
    <col min="8" max="8" width="18.08984375" bestFit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/>
    </row>
    <row r="2" spans="1:9" x14ac:dyDescent="0.35">
      <c r="A2" t="str">
        <f>RawData!A29</f>
        <v>C028</v>
      </c>
      <c r="B2" t="str">
        <f>PROPER(TRIM(RawData!B29))</f>
        <v>Steven Scott</v>
      </c>
      <c r="C2" t="str">
        <f>LOWER(TRIM(RawData!C29))</f>
        <v>steven.scott@email.com</v>
      </c>
      <c r="D2" t="str">
        <f>TEXT(RawData!D29,"000-000-0000")</f>
        <v>555-456-7801</v>
      </c>
      <c r="E2" t="str">
        <f>PROPER(TRIM(RawData!E29))</f>
        <v>Portland</v>
      </c>
      <c r="F2" t="s">
        <v>13</v>
      </c>
      <c r="G2" s="1">
        <f>RawData!G29</f>
        <v>46203</v>
      </c>
      <c r="H2" s="2">
        <v>600</v>
      </c>
    </row>
    <row r="3" spans="1:9" x14ac:dyDescent="0.35">
      <c r="A3" t="str">
        <f>RawData!A10</f>
        <v>C009</v>
      </c>
      <c r="B3" t="str">
        <f>PROPER(TRIM(RawData!B10))</f>
        <v>Robert Anderson</v>
      </c>
      <c r="C3" t="str">
        <f>LOWER(TRIM(RawData!C10))</f>
        <v>robert.anderson@email.com</v>
      </c>
      <c r="D3" t="str">
        <f>TEXT(RawData!D10,"000-000-0000")</f>
        <v>555-567-8901</v>
      </c>
      <c r="E3" t="str">
        <f>PROPER(TRIM(RawData!E10))</f>
        <v>Miami</v>
      </c>
      <c r="F3" t="s">
        <v>13</v>
      </c>
      <c r="G3" s="1">
        <f>RawData!G10</f>
        <v>46162</v>
      </c>
      <c r="H3" s="2">
        <f>RawData!H10</f>
        <v>500</v>
      </c>
    </row>
    <row r="4" spans="1:9" x14ac:dyDescent="0.35">
      <c r="A4" t="str">
        <f>RawData!A37</f>
        <v>C036</v>
      </c>
      <c r="B4" t="str">
        <f>PROPER(TRIM(RawData!B37))</f>
        <v>Richard Roberts</v>
      </c>
      <c r="C4" t="str">
        <f>LOWER(TRIM(RawData!C37))</f>
        <v>richard.roberts@email.com</v>
      </c>
      <c r="D4" t="str">
        <f>TEXT(RawData!D37,"000-000-0000")</f>
        <v>555-890-1245</v>
      </c>
      <c r="E4" t="str">
        <f>PROPER(TRIM(RawData!E37))</f>
        <v>Nashville</v>
      </c>
      <c r="F4" t="s">
        <v>13</v>
      </c>
      <c r="G4" s="1">
        <f>RawData!G37</f>
        <v>46223</v>
      </c>
      <c r="H4" s="2">
        <f>RawData!H37</f>
        <v>485</v>
      </c>
    </row>
    <row r="5" spans="1:9" x14ac:dyDescent="0.35">
      <c r="A5" t="str">
        <f>RawData!A25</f>
        <v>C024</v>
      </c>
      <c r="B5" t="str">
        <f>PROPER(TRIM(RawData!B25))</f>
        <v>Donald King</v>
      </c>
      <c r="C5" t="str">
        <f>LOWER(TRIM(RawData!C25))</f>
        <v>donald.king@email.com</v>
      </c>
      <c r="D5" t="str">
        <f>TEXT(RawData!D25,"000-000-0000")</f>
        <v>555-234-5680</v>
      </c>
      <c r="E5" t="str">
        <f>PROPER(TRIM(RawData!E25))</f>
        <v>Austin</v>
      </c>
      <c r="F5" t="s">
        <v>13</v>
      </c>
      <c r="G5" s="1">
        <f>RawData!G25</f>
        <v>46193</v>
      </c>
      <c r="H5" s="2">
        <f>RawData!H25</f>
        <v>475</v>
      </c>
    </row>
    <row r="6" spans="1:9" x14ac:dyDescent="0.35">
      <c r="A6" t="str">
        <f>RawData!A6</f>
        <v>C005</v>
      </c>
      <c r="B6" t="str">
        <f>PROPER(TRIM(RawData!B6))</f>
        <v>Michael Davis</v>
      </c>
      <c r="C6" t="str">
        <f>LOWER(TRIM(RawData!C6))</f>
        <v>michael.davis@email.com</v>
      </c>
      <c r="D6" t="str">
        <f>TEXT(RawData!D6,"000-000-0000")</f>
        <v>555-345-6789</v>
      </c>
      <c r="E6" t="str">
        <f>PROPER(TRIM(RawData!E6))</f>
        <v>Los Angeles</v>
      </c>
      <c r="F6" t="s">
        <v>13</v>
      </c>
      <c r="G6" s="1">
        <f>RawData!G6</f>
        <v>46152</v>
      </c>
      <c r="H6" s="2">
        <f>RawData!H6</f>
        <v>450</v>
      </c>
    </row>
    <row r="7" spans="1:9" x14ac:dyDescent="0.35">
      <c r="A7" t="str">
        <f>RawData!A33</f>
        <v>C032</v>
      </c>
      <c r="B7" t="str">
        <f>PROPER(TRIM(RawData!B33))</f>
        <v>Edward Nelson</v>
      </c>
      <c r="C7" t="str">
        <f>LOWER(TRIM(RawData!C33))</f>
        <v>edward.nelson@email.com</v>
      </c>
      <c r="D7" t="str">
        <f>TEXT(RawData!D33,"000-000-0000")</f>
        <v>555-678-9023</v>
      </c>
      <c r="E7" t="str">
        <f>PROPER(TRIM(RawData!E33))</f>
        <v>Atlanta</v>
      </c>
      <c r="F7" t="s">
        <v>13</v>
      </c>
      <c r="G7" s="1">
        <f>RawData!G33</f>
        <v>46213</v>
      </c>
      <c r="H7" s="2">
        <f>RawData!H33</f>
        <v>440</v>
      </c>
    </row>
    <row r="8" spans="1:9" x14ac:dyDescent="0.35">
      <c r="A8" t="str">
        <f>RawData!A41</f>
        <v>C040</v>
      </c>
      <c r="B8" t="str">
        <f>PROPER(TRIM(RawData!B41))</f>
        <v>Daniel Parker</v>
      </c>
      <c r="C8" t="str">
        <f>LOWER(TRIM(RawData!C41))</f>
        <v>daniel.parker@email.com</v>
      </c>
      <c r="D8" t="str">
        <f>TEXT(RawData!D41,"000-000-0000")</f>
        <v>555-012-3467</v>
      </c>
      <c r="E8" t="str">
        <f>PROPER(TRIM(RawData!E41))</f>
        <v>Phoenix</v>
      </c>
      <c r="F8" t="s">
        <v>13</v>
      </c>
      <c r="G8" s="1">
        <f>RawData!G41</f>
        <v>46233</v>
      </c>
      <c r="H8" s="2">
        <f>RawData!H41</f>
        <v>425</v>
      </c>
    </row>
    <row r="9" spans="1:9" x14ac:dyDescent="0.35">
      <c r="A9" t="str">
        <f>RawData!A19</f>
        <v>C018</v>
      </c>
      <c r="B9" t="str">
        <f>PROPER(TRIM(RawData!B19))</f>
        <v>Christopher Lee</v>
      </c>
      <c r="C9" t="str">
        <f>LOWER(TRIM(RawData!C19))</f>
        <v>christopher.lee@email.com</v>
      </c>
      <c r="D9" t="str">
        <f>TEXT(RawData!D19,"000-000-0000")</f>
        <v>555-901-2345</v>
      </c>
      <c r="E9" t="str">
        <f>PROPER(TRIM(RawData!E19))</f>
        <v>Denver</v>
      </c>
      <c r="F9" t="s">
        <v>13</v>
      </c>
      <c r="G9" s="1">
        <f>RawData!G19</f>
        <v>46178</v>
      </c>
      <c r="H9" s="2">
        <f>RawData!H19</f>
        <v>420</v>
      </c>
    </row>
    <row r="10" spans="1:9" x14ac:dyDescent="0.35">
      <c r="A10" t="str">
        <f>RawData!A15</f>
        <v>C014</v>
      </c>
      <c r="B10" t="str">
        <f>PROPER(TRIM(RawData!B15))</f>
        <v>Charles Harris</v>
      </c>
      <c r="C10" t="str">
        <f>LOWER(TRIM(RawData!C15))</f>
        <v>charles.harris@email.com</v>
      </c>
      <c r="D10" t="str">
        <f>TEXT(RawData!D15,"000-000-0000")</f>
        <v>555-789-0123</v>
      </c>
      <c r="E10" t="str">
        <f>PROPER(TRIM(RawData!E15))</f>
        <v>Seattle</v>
      </c>
      <c r="F10" t="s">
        <v>13</v>
      </c>
      <c r="G10" s="1">
        <f>RawData!G15</f>
        <v>46171</v>
      </c>
      <c r="H10" s="2">
        <f>RawData!H15</f>
        <v>410</v>
      </c>
    </row>
    <row r="11" spans="1:9" x14ac:dyDescent="0.35">
      <c r="A11" t="str">
        <f>RawData!A21</f>
        <v>C020</v>
      </c>
      <c r="B11" t="str">
        <f>PROPER(TRIM(RawData!B21))</f>
        <v>Daniel Hall</v>
      </c>
      <c r="C11" t="str">
        <f>LOWER(TRIM(RawData!C21))</f>
        <v>daniel.hall@email.com</v>
      </c>
      <c r="D11" t="str">
        <f>TEXT(RawData!D21,"000-000-0000")</f>
        <v>555-012-3456</v>
      </c>
      <c r="E11" t="str">
        <f>PROPER(TRIM(RawData!E21))</f>
        <v>Phoenix</v>
      </c>
      <c r="F11" t="s">
        <v>13</v>
      </c>
      <c r="G11" s="1">
        <f>RawData!G21</f>
        <v>46183</v>
      </c>
      <c r="H11" s="2">
        <f>RawData!H21</f>
        <v>390</v>
      </c>
    </row>
    <row r="12" spans="1:9" x14ac:dyDescent="0.35">
      <c r="A12" t="str">
        <f>RawData!A8</f>
        <v>C007</v>
      </c>
      <c r="B12" t="str">
        <f>PROPER(TRIM(RawData!B8))</f>
        <v>James Wilson</v>
      </c>
      <c r="C12" t="str">
        <f>LOWER(TRIM(RawData!C8))</f>
        <v>james.wilson@email.com</v>
      </c>
      <c r="D12" t="str">
        <f>TEXT(RawData!D8,"000-000-0000")</f>
        <v>555-456-7890</v>
      </c>
      <c r="E12" t="str">
        <f>PROPER(TRIM(RawData!E8))</f>
        <v>Houston</v>
      </c>
      <c r="F12" t="s">
        <v>13</v>
      </c>
      <c r="G12" s="1">
        <f>RawData!G8</f>
        <v>46157</v>
      </c>
      <c r="H12" s="2">
        <f>RawData!H8</f>
        <v>375</v>
      </c>
    </row>
    <row r="13" spans="1:9" x14ac:dyDescent="0.35">
      <c r="A13" t="str">
        <f>RawData!A39</f>
        <v>C038</v>
      </c>
      <c r="B13" t="str">
        <f>PROPER(TRIM(RawData!B39))</f>
        <v>Charles Phillips</v>
      </c>
      <c r="C13" t="str">
        <f>LOWER(TRIM(RawData!C39))</f>
        <v>charles.phillips@email.com</v>
      </c>
      <c r="D13" t="str">
        <f>TEXT(RawData!D39,"000-000-0000")</f>
        <v>555-901-2356</v>
      </c>
      <c r="E13" t="str">
        <f>PROPER(TRIM(RawData!E39))</f>
        <v>Raleigh</v>
      </c>
      <c r="F13" t="s">
        <v>13</v>
      </c>
      <c r="G13" s="1">
        <f>RawData!G39</f>
        <v>46228</v>
      </c>
      <c r="H13" s="2">
        <f>RawData!H39</f>
        <v>365</v>
      </c>
    </row>
    <row r="14" spans="1:9" x14ac:dyDescent="0.35">
      <c r="A14" t="str">
        <f>RawData!A17</f>
        <v>C016</v>
      </c>
      <c r="B14" t="str">
        <f>PROPER(TRIM(RawData!B17))</f>
        <v>Thomas Clark</v>
      </c>
      <c r="C14" t="str">
        <f>LOWER(TRIM(RawData!C17))</f>
        <v>thomas.clark@email.com</v>
      </c>
      <c r="D14" t="str">
        <f>TEXT(RawData!D17,"000-000-0000")</f>
        <v>555-890-1234</v>
      </c>
      <c r="E14" t="str">
        <f>PROPER(TRIM(RawData!E17))</f>
        <v>Boston</v>
      </c>
      <c r="F14" t="s">
        <v>13</v>
      </c>
      <c r="G14" s="1">
        <f>RawData!G17</f>
        <v>46174</v>
      </c>
      <c r="H14" s="2">
        <f>RawData!H17</f>
        <v>360</v>
      </c>
    </row>
    <row r="15" spans="1:9" x14ac:dyDescent="0.35">
      <c r="A15" t="str">
        <f>RawData!A31</f>
        <v>C030</v>
      </c>
      <c r="B15" t="str">
        <f>PROPER(TRIM(RawData!B31))</f>
        <v>Joseph Adams</v>
      </c>
      <c r="C15" t="str">
        <f>LOWER(TRIM(RawData!C31))</f>
        <v>joseph.adams@email.com</v>
      </c>
      <c r="D15" t="str">
        <f>TEXT(RawData!D31,"000-000-0000")</f>
        <v>555-567-8912</v>
      </c>
      <c r="E15" t="str">
        <f>PROPER(TRIM(RawData!E31))</f>
        <v>Orlando</v>
      </c>
      <c r="F15" t="s">
        <v>13</v>
      </c>
      <c r="G15" s="1">
        <f>RawData!G31</f>
        <v>46208</v>
      </c>
      <c r="H15" s="2">
        <f>RawData!H31</f>
        <v>355</v>
      </c>
    </row>
    <row r="16" spans="1:9" x14ac:dyDescent="0.35">
      <c r="A16" t="str">
        <f>RawData!A13</f>
        <v>C012</v>
      </c>
      <c r="B16" t="str">
        <f>PROPER(TRIM(RawData!B13))</f>
        <v>William Jackson</v>
      </c>
      <c r="C16" t="str">
        <f>LOWER(TRIM(RawData!C13))</f>
        <v>william.jackson@email.com</v>
      </c>
      <c r="D16" t="str">
        <f>TEXT(RawData!D13,"000-000-0000")</f>
        <v>555-678-9012</v>
      </c>
      <c r="E16" t="str">
        <f>PROPER(TRIM(RawData!E13))</f>
        <v>Dallas</v>
      </c>
      <c r="F16" t="s">
        <v>13</v>
      </c>
      <c r="G16" s="1">
        <f>RawData!G13</f>
        <v>46167</v>
      </c>
      <c r="H16" s="2">
        <f>RawData!H13</f>
        <v>340</v>
      </c>
    </row>
    <row r="17" spans="1:8" x14ac:dyDescent="0.35">
      <c r="A17" t="str">
        <f>RawData!A27</f>
        <v>C026</v>
      </c>
      <c r="B17" t="str">
        <f>PROPER(TRIM(RawData!B27))</f>
        <v>Mark Lopez</v>
      </c>
      <c r="C17" t="str">
        <f>LOWER(TRIM(RawData!C27))</f>
        <v>mark.lopez@email.com</v>
      </c>
      <c r="D17" t="str">
        <f>TEXT(RawData!D27,"000-000-0000")</f>
        <v>555-345-6790</v>
      </c>
      <c r="E17" t="str">
        <f>PROPER(TRIM(RawData!E27))</f>
        <v>San Antonio</v>
      </c>
      <c r="F17" t="s">
        <v>13</v>
      </c>
      <c r="G17" s="1">
        <f>RawData!G27</f>
        <v>46198</v>
      </c>
      <c r="H17" s="2">
        <f>RawData!H27</f>
        <v>330</v>
      </c>
    </row>
    <row r="18" spans="1:8" x14ac:dyDescent="0.35">
      <c r="A18" t="str">
        <f>RawData!A4</f>
        <v>C003</v>
      </c>
      <c r="B18" t="str">
        <f>PROPER(TRIM(RawData!B4))</f>
        <v>David Wilson</v>
      </c>
      <c r="C18" t="str">
        <f>LOWER(TRIM(RawData!C4))</f>
        <v>david.wilson@email.com</v>
      </c>
      <c r="D18" t="str">
        <f>TEXT(RawData!D4,"000-000-0000")</f>
        <v>555-234-5678</v>
      </c>
      <c r="E18" t="str">
        <f>PROPER(TRIM(RawData!E4))</f>
        <v>Chicago</v>
      </c>
      <c r="F18" t="s">
        <v>13</v>
      </c>
      <c r="G18" s="1">
        <f>RawData!G4</f>
        <v>46147</v>
      </c>
      <c r="H18" s="2">
        <f>RawData!H4</f>
        <v>320</v>
      </c>
    </row>
    <row r="19" spans="1:8" x14ac:dyDescent="0.35">
      <c r="A19" t="str">
        <f>RawData!A23</f>
        <v>C022</v>
      </c>
      <c r="B19" t="str">
        <f>PROPER(TRIM(RawData!B23))</f>
        <v>Matthew Young</v>
      </c>
      <c r="C19" t="str">
        <f>LOWER(TRIM(RawData!C23))</f>
        <v>matthew.young@email.com</v>
      </c>
      <c r="D19" t="str">
        <f>TEXT(RawData!D23,"000-000-0000")</f>
        <v>555-123-4568</v>
      </c>
      <c r="E19" t="str">
        <f>PROPER(TRIM(RawData!E23))</f>
        <v>San Diego</v>
      </c>
      <c r="F19" t="s">
        <v>13</v>
      </c>
      <c r="G19" s="1">
        <f>RawData!G23</f>
        <v>46188</v>
      </c>
      <c r="H19" s="2">
        <f>RawData!H23</f>
        <v>315</v>
      </c>
    </row>
    <row r="20" spans="1:8" x14ac:dyDescent="0.35">
      <c r="A20" t="str">
        <f>RawData!A35</f>
        <v>C034</v>
      </c>
      <c r="B20" t="str">
        <f>PROPER(TRIM(RawData!B35))</f>
        <v>George Mitchell</v>
      </c>
      <c r="C20" t="str">
        <f>LOWER(TRIM(RawData!C35))</f>
        <v>george.mitchell@email.com</v>
      </c>
      <c r="D20" t="str">
        <f>TEXT(RawData!D35,"000-000-0000")</f>
        <v>555-789-0134</v>
      </c>
      <c r="E20" t="str">
        <f>PROPER(TRIM(RawData!E35))</f>
        <v>Charlotte</v>
      </c>
      <c r="F20" t="s">
        <v>13</v>
      </c>
      <c r="G20" s="1">
        <f>RawData!G35</f>
        <v>46218</v>
      </c>
      <c r="H20" s="2">
        <f>RawData!H35</f>
        <v>310</v>
      </c>
    </row>
    <row r="21" spans="1:8" x14ac:dyDescent="0.35">
      <c r="A21" t="str">
        <f>RawData!A18</f>
        <v>C017</v>
      </c>
      <c r="B21" t="str">
        <f>PROPER(TRIM(RawData!B18))</f>
        <v>Susan Lewis</v>
      </c>
      <c r="C21" t="str">
        <f>LOWER(TRIM(RawData!C18))</f>
        <v>susan.lewis@email.com</v>
      </c>
      <c r="D21" t="str">
        <f>TEXT(RawData!D18,"000-000-0000")</f>
        <v>555-890-1235</v>
      </c>
      <c r="E21" t="str">
        <f>PROPER(TRIM(RawData!E18))</f>
        <v>Boston</v>
      </c>
      <c r="F21" t="s">
        <v>13</v>
      </c>
      <c r="G21" s="1">
        <f>RawData!G18</f>
        <v>46176</v>
      </c>
      <c r="H21" s="2">
        <f>RawData!H18</f>
        <v>285</v>
      </c>
    </row>
    <row r="22" spans="1:8" x14ac:dyDescent="0.35">
      <c r="A22" t="str">
        <f>RawData!A11</f>
        <v>C010</v>
      </c>
      <c r="B22" t="str">
        <f>PROPER(TRIM(RawData!B11))</f>
        <v>Jennifer Thomas</v>
      </c>
      <c r="C22" t="str">
        <f>LOWER(TRIM(RawData!C11))</f>
        <v>jennifer.thomas@email.com</v>
      </c>
      <c r="D22" t="str">
        <f>TEXT(RawData!D11,"000-000-0000")</f>
        <v>555-567-8902</v>
      </c>
      <c r="E22" t="str">
        <f>PROPER(TRIM(RawData!E11))</f>
        <v>Miami</v>
      </c>
      <c r="F22" t="s">
        <v>13</v>
      </c>
      <c r="G22" s="1">
        <f>RawData!G11</f>
        <v>46164</v>
      </c>
      <c r="H22" s="2">
        <f>RawData!H11</f>
        <v>275</v>
      </c>
    </row>
    <row r="23" spans="1:8" x14ac:dyDescent="0.35">
      <c r="A23" t="str">
        <f>RawData!A34</f>
        <v>C033</v>
      </c>
      <c r="B23" t="str">
        <f>PROPER(TRIM(RawData!B34))</f>
        <v>Jennifer Carter</v>
      </c>
      <c r="C23" t="str">
        <f>LOWER(TRIM(RawData!C34))</f>
        <v>jennifer.carter@email.com</v>
      </c>
      <c r="D23" t="str">
        <f>TEXT(RawData!D34,"000-000-0000")</f>
        <v>555-678-9024</v>
      </c>
      <c r="E23" t="str">
        <f>PROPER(TRIM(RawData!E34))</f>
        <v>Atlanta</v>
      </c>
      <c r="F23" t="s">
        <v>13</v>
      </c>
      <c r="G23" s="1">
        <f>RawData!G34</f>
        <v>46215</v>
      </c>
      <c r="H23" s="2">
        <f>RawData!H34</f>
        <v>275</v>
      </c>
    </row>
    <row r="24" spans="1:8" x14ac:dyDescent="0.35">
      <c r="A24" t="str">
        <f>RawData!A30</f>
        <v>C029</v>
      </c>
      <c r="B24" t="str">
        <f>PROPER(TRIM(RawData!B30))</f>
        <v>Dorothy Green</v>
      </c>
      <c r="C24" t="str">
        <f>LOWER(TRIM(RawData!C30))</f>
        <v>dorothy.green@email.com</v>
      </c>
      <c r="D24" t="str">
        <f>TEXT(RawData!D30,"000-000-0000")</f>
        <v>555-456-7802</v>
      </c>
      <c r="E24" t="str">
        <f>PROPER(TRIM(RawData!E30))</f>
        <v>Portland</v>
      </c>
      <c r="F24" t="s">
        <v>13</v>
      </c>
      <c r="G24" s="1">
        <f>RawData!G30</f>
        <v>46205</v>
      </c>
      <c r="H24" s="2">
        <f>RawData!H30</f>
        <v>265</v>
      </c>
    </row>
    <row r="25" spans="1:8" x14ac:dyDescent="0.35">
      <c r="A25" t="str">
        <f>RawData!A2</f>
        <v>C001</v>
      </c>
      <c r="B25" t="str">
        <f>PROPER(TRIM(RawData!B2))</f>
        <v>John Smith</v>
      </c>
      <c r="C25" t="str">
        <f>LOWER(TRIM(RawData!C2))</f>
        <v>john.smith@email.com</v>
      </c>
      <c r="D25" t="str">
        <f>TEXT(RawData!D2,"000-000-0000")</f>
        <v>555-123-4567</v>
      </c>
      <c r="E25" t="str">
        <f>PROPER(TRIM(RawData!E2))</f>
        <v>New York</v>
      </c>
      <c r="F25" t="s">
        <v>13</v>
      </c>
      <c r="G25" s="1">
        <f>RawData!G2</f>
        <v>46143</v>
      </c>
      <c r="H25" s="2">
        <f>RawData!H2</f>
        <v>250</v>
      </c>
    </row>
    <row r="26" spans="1:8" x14ac:dyDescent="0.35">
      <c r="A26" t="str">
        <f>RawData!A22</f>
        <v>C021</v>
      </c>
      <c r="B26" t="str">
        <f>PROPER(TRIM(RawData!B22))</f>
        <v>Karen Allen</v>
      </c>
      <c r="C26" t="str">
        <f>LOWER(TRIM(RawData!C22))</f>
        <v>karen.allen@email.com</v>
      </c>
      <c r="D26" t="str">
        <f>TEXT(RawData!D22,"000-000-0000")</f>
        <v>555-012-3457</v>
      </c>
      <c r="E26" t="str">
        <f>PROPER(TRIM(RawData!E22))</f>
        <v>Phoenix</v>
      </c>
      <c r="F26" t="s">
        <v>13</v>
      </c>
      <c r="G26" s="1">
        <f>RawData!G22</f>
        <v>46185</v>
      </c>
      <c r="H26" s="2">
        <f>RawData!H22</f>
        <v>240</v>
      </c>
    </row>
    <row r="27" spans="1:8" x14ac:dyDescent="0.35">
      <c r="A27" t="str">
        <f>RawData!A36</f>
        <v>C035</v>
      </c>
      <c r="B27" t="str">
        <f>PROPER(TRIM(RawData!B36))</f>
        <v>Patricia Perez</v>
      </c>
      <c r="C27" t="str">
        <f>LOWER(TRIM(RawData!C36))</f>
        <v>patricia.perez@email.com</v>
      </c>
      <c r="D27" t="str">
        <f>TEXT(RawData!D36,"000-000-0000")</f>
        <v>555-789-0135</v>
      </c>
      <c r="E27" t="str">
        <f>PROPER(TRIM(RawData!E36))</f>
        <v>Charlotte</v>
      </c>
      <c r="F27" t="s">
        <v>13</v>
      </c>
      <c r="G27" s="1">
        <f>RawData!G36</f>
        <v>46220</v>
      </c>
      <c r="H27" s="2">
        <f>RawData!H36</f>
        <v>230</v>
      </c>
    </row>
    <row r="28" spans="1:8" x14ac:dyDescent="0.35">
      <c r="A28" t="str">
        <f>RawData!A14</f>
        <v>C013</v>
      </c>
      <c r="B28" t="str">
        <f>PROPER(TRIM(RawData!B14))</f>
        <v>Patricia White</v>
      </c>
      <c r="C28" t="str">
        <f>LOWER(TRIM(RawData!C14))</f>
        <v>patricia.white@email.com</v>
      </c>
      <c r="D28" t="str">
        <f>TEXT(RawData!D14,"000-000-0000")</f>
        <v>555-678-9013</v>
      </c>
      <c r="E28" t="str">
        <f>PROPER(TRIM(RawData!E14))</f>
        <v>Dallas</v>
      </c>
      <c r="F28" t="s">
        <v>13</v>
      </c>
      <c r="G28" s="1">
        <f>RawData!G14</f>
        <v>46169</v>
      </c>
      <c r="H28" s="2">
        <f>RawData!H14</f>
        <v>225</v>
      </c>
    </row>
    <row r="29" spans="1:8" x14ac:dyDescent="0.35">
      <c r="A29" t="str">
        <f>RawData!A26</f>
        <v>C025</v>
      </c>
      <c r="B29" t="str">
        <f>PROPER(TRIM(RawData!B26))</f>
        <v>Lisa Wright</v>
      </c>
      <c r="C29" t="str">
        <f>LOWER(TRIM(RawData!C26))</f>
        <v>lisa.wright@email.com</v>
      </c>
      <c r="D29" t="str">
        <f>TEXT(RawData!D26,"000-000-0000")</f>
        <v>555-234-5681</v>
      </c>
      <c r="E29" t="str">
        <f>PROPER(TRIM(RawData!E26))</f>
        <v>Austin</v>
      </c>
      <c r="F29" t="s">
        <v>13</v>
      </c>
      <c r="G29" s="1">
        <f>RawData!G26</f>
        <v>46195</v>
      </c>
      <c r="H29" s="2">
        <f>RawData!H26</f>
        <v>220</v>
      </c>
    </row>
    <row r="30" spans="1:8" x14ac:dyDescent="0.35">
      <c r="A30" t="str">
        <f>RawData!A7</f>
        <v>C006</v>
      </c>
      <c r="B30" t="str">
        <f>PROPER(TRIM(RawData!B7))</f>
        <v>Emily Miller</v>
      </c>
      <c r="C30" t="str">
        <f>LOWER(TRIM(RawData!C7))</f>
        <v>emily.miller@email.com</v>
      </c>
      <c r="D30" t="str">
        <f>TEXT(RawData!D7,"000-000-0000")</f>
        <v>555-345-6790</v>
      </c>
      <c r="E30" t="str">
        <f>PROPER(TRIM(RawData!E7))</f>
        <v>Los Angeles</v>
      </c>
      <c r="F30" t="s">
        <v>13</v>
      </c>
      <c r="G30" s="1">
        <f>RawData!G7</f>
        <v>46154</v>
      </c>
      <c r="H30" s="2">
        <f>RawData!H7</f>
        <v>210</v>
      </c>
    </row>
    <row r="31" spans="1:8" x14ac:dyDescent="0.35">
      <c r="A31" t="str">
        <f>RawData!A38</f>
        <v>C037</v>
      </c>
      <c r="B31" t="str">
        <f>PROPER(TRIM(RawData!B38))</f>
        <v>Linda Turner</v>
      </c>
      <c r="C31" t="str">
        <f>LOWER(TRIM(RawData!C38))</f>
        <v>linda.turner@email.com</v>
      </c>
      <c r="D31" t="str">
        <f>TEXT(RawData!D38,"000-000-0000")</f>
        <v>555-890-1246</v>
      </c>
      <c r="E31" t="str">
        <f>PROPER(TRIM(RawData!E38))</f>
        <v>Nashville</v>
      </c>
      <c r="F31" t="s">
        <v>13</v>
      </c>
      <c r="G31" s="1">
        <f>RawData!G38</f>
        <v>46225</v>
      </c>
      <c r="H31" s="2">
        <f>RawData!H38</f>
        <v>210</v>
      </c>
    </row>
    <row r="32" spans="1:8" x14ac:dyDescent="0.35">
      <c r="A32" t="str">
        <f>RawData!A24</f>
        <v>C023</v>
      </c>
      <c r="B32" t="str">
        <f>PROPER(TRIM(RawData!B24))</f>
        <v>Betty Hernandez</v>
      </c>
      <c r="C32" t="str">
        <f>LOWER(TRIM(RawData!C24))</f>
        <v>betty.hernandez@email.com</v>
      </c>
      <c r="D32" t="str">
        <f>TEXT(RawData!D24,"000-000-0000")</f>
        <v>555-123-4569</v>
      </c>
      <c r="E32" t="str">
        <f>PROPER(TRIM(RawData!E24))</f>
        <v>San Diego</v>
      </c>
      <c r="F32" t="s">
        <v>13</v>
      </c>
      <c r="G32" s="1">
        <f>RawData!G24</f>
        <v>46190</v>
      </c>
      <c r="H32" s="2">
        <f>RawData!H24</f>
        <v>200</v>
      </c>
    </row>
    <row r="33" spans="1:8" x14ac:dyDescent="0.35">
      <c r="A33" t="str">
        <f>RawData!A16</f>
        <v>C015</v>
      </c>
      <c r="B33" t="str">
        <f>PROPER(TRIM(RawData!B16))</f>
        <v>Linda Martin</v>
      </c>
      <c r="C33" t="str">
        <f>LOWER(TRIM(RawData!C16))</f>
        <v>linda.martin@email.com</v>
      </c>
      <c r="D33" t="str">
        <f>TEXT(RawData!D16,"000-000-0000")</f>
        <v>555-789-0124</v>
      </c>
      <c r="E33" t="str">
        <f>PROPER(TRIM(RawData!E16))</f>
        <v>Seattle</v>
      </c>
      <c r="F33" t="s">
        <v>13</v>
      </c>
      <c r="G33" s="1">
        <f>RawData!G16</f>
        <v>46172</v>
      </c>
      <c r="H33" s="2">
        <f>RawData!H16</f>
        <v>195</v>
      </c>
    </row>
    <row r="34" spans="1:8" x14ac:dyDescent="0.35">
      <c r="A34" t="str">
        <f>RawData!A32</f>
        <v>C031</v>
      </c>
      <c r="B34" t="str">
        <f>PROPER(TRIM(RawData!B32))</f>
        <v>Margaret Baker</v>
      </c>
      <c r="C34" t="str">
        <f>LOWER(TRIM(RawData!C32))</f>
        <v>margaret.baker@email.com</v>
      </c>
      <c r="D34" t="str">
        <f>TEXT(RawData!D32,"000-000-0000")</f>
        <v>555-567-8913</v>
      </c>
      <c r="E34" t="str">
        <f>PROPER(TRIM(RawData!E32))</f>
        <v>Orlando</v>
      </c>
      <c r="F34" t="s">
        <v>13</v>
      </c>
      <c r="G34" s="1">
        <f>RawData!G32</f>
        <v>46210</v>
      </c>
      <c r="H34" s="2">
        <f>RawData!H32</f>
        <v>195</v>
      </c>
    </row>
    <row r="35" spans="1:8" x14ac:dyDescent="0.35">
      <c r="A35" t="str">
        <f>RawData!A40</f>
        <v>C039</v>
      </c>
      <c r="B35" t="str">
        <f>PROPER(TRIM(RawData!B40))</f>
        <v>Jessica Campbell</v>
      </c>
      <c r="C35" t="str">
        <f>LOWER(TRIM(RawData!C40))</f>
        <v>jessica.campbell@email.com</v>
      </c>
      <c r="D35" t="str">
        <f>TEXT(RawData!D40,"000-000-0000")</f>
        <v>555-901-2357</v>
      </c>
      <c r="E35" t="str">
        <f>PROPER(TRIM(RawData!E40))</f>
        <v>Raleigh</v>
      </c>
      <c r="F35" t="s">
        <v>13</v>
      </c>
      <c r="G35" s="1">
        <f>RawData!G40</f>
        <v>46230</v>
      </c>
      <c r="H35" s="2">
        <f>RawData!H40</f>
        <v>195</v>
      </c>
    </row>
    <row r="36" spans="1:8" x14ac:dyDescent="0.35">
      <c r="A36" t="str">
        <f>RawData!A9</f>
        <v>C008</v>
      </c>
      <c r="B36" t="str">
        <f>PROPER(TRIM(RawData!B9))</f>
        <v>Lisa Taylor</v>
      </c>
      <c r="C36" t="str">
        <f>LOWER(TRIM(RawData!C9))</f>
        <v>lisa.taylor@email.com</v>
      </c>
      <c r="D36" t="str">
        <f>TEXT(RawData!D9,"000-000-0000")</f>
        <v>555-456-7891</v>
      </c>
      <c r="E36" t="str">
        <f>PROPER(TRIM(RawData!E9))</f>
        <v>Houston</v>
      </c>
      <c r="F36" t="s">
        <v>13</v>
      </c>
      <c r="G36" s="1">
        <f>RawData!G9</f>
        <v>46160</v>
      </c>
      <c r="H36" s="2">
        <f>RawData!H9</f>
        <v>190</v>
      </c>
    </row>
    <row r="37" spans="1:8" x14ac:dyDescent="0.35">
      <c r="A37" t="str">
        <f>RawData!A28</f>
        <v>C027</v>
      </c>
      <c r="B37" t="str">
        <f>PROPER(TRIM(RawData!B28))</f>
        <v>Barbara Hill</v>
      </c>
      <c r="C37" t="str">
        <f>LOWER(TRIM(RawData!C28))</f>
        <v>barbara.hill@email.com</v>
      </c>
      <c r="D37" t="str">
        <f>TEXT(RawData!D28,"000-000-0000")</f>
        <v>555-345-6791</v>
      </c>
      <c r="E37" t="str">
        <f>PROPER(TRIM(RawData!E28))</f>
        <v>San Antonio</v>
      </c>
      <c r="F37" t="s">
        <v>13</v>
      </c>
      <c r="G37" s="1">
        <f>RawData!G28</f>
        <v>46200</v>
      </c>
      <c r="H37" s="2">
        <f>RawData!H28</f>
        <v>185</v>
      </c>
    </row>
    <row r="38" spans="1:8" x14ac:dyDescent="0.35">
      <c r="A38" t="str">
        <f>RawData!A3</f>
        <v>C002</v>
      </c>
      <c r="B38" t="str">
        <f>PROPER(TRIM(RawData!B3))</f>
        <v>Mary Johnson</v>
      </c>
      <c r="C38" t="str">
        <f>LOWER(TRIM(RawData!C3))</f>
        <v>mary.johnson@email.com</v>
      </c>
      <c r="D38" t="str">
        <f>TEXT(RawData!D3,"000-000-0000")</f>
        <v>555-123-4568</v>
      </c>
      <c r="E38" t="str">
        <f>PROPER(TRIM(RawData!E3))</f>
        <v>New York</v>
      </c>
      <c r="F38" t="s">
        <v>13</v>
      </c>
      <c r="G38" s="1">
        <f>RawData!G3</f>
        <v>46144</v>
      </c>
      <c r="H38" s="2">
        <f>RawData!H3</f>
        <v>180</v>
      </c>
    </row>
    <row r="39" spans="1:8" x14ac:dyDescent="0.35">
      <c r="A39" t="str">
        <f>RawData!A20</f>
        <v>C019</v>
      </c>
      <c r="B39" t="str">
        <f>PROPER(TRIM(RawData!B20))</f>
        <v>Nancy Walker</v>
      </c>
      <c r="C39" t="str">
        <f>LOWER(TRIM(RawData!C20))</f>
        <v>nancy.walker@email.com</v>
      </c>
      <c r="D39" t="str">
        <f>TEXT(RawData!D20,"000-000-0000")</f>
        <v>555-901-2346</v>
      </c>
      <c r="E39" t="str">
        <f>PROPER(TRIM(RawData!E20))</f>
        <v>Denver</v>
      </c>
      <c r="F39" t="s">
        <v>13</v>
      </c>
      <c r="G39" s="1">
        <f>RawData!G20</f>
        <v>46180</v>
      </c>
      <c r="H39" s="2">
        <f>RawData!H20</f>
        <v>175</v>
      </c>
    </row>
    <row r="40" spans="1:8" x14ac:dyDescent="0.35">
      <c r="A40" t="str">
        <f>RawData!A5</f>
        <v>C004</v>
      </c>
      <c r="B40" t="str">
        <f>PROPER(TRIM(RawData!B5))</f>
        <v>Sarah Brown</v>
      </c>
      <c r="C40" t="str">
        <f>LOWER(TRIM(RawData!C5))</f>
        <v>sarah.brown@email.com</v>
      </c>
      <c r="D40" t="str">
        <f>TEXT(RawData!D5,"000-000-0000")</f>
        <v>555-234-5679</v>
      </c>
      <c r="E40" t="str">
        <f>PROPER(TRIM(RawData!E5))</f>
        <v>Chicago</v>
      </c>
      <c r="F40" t="s">
        <v>13</v>
      </c>
      <c r="G40" s="1">
        <f>RawData!G5</f>
        <v>46149</v>
      </c>
      <c r="H40" s="2">
        <f>RawData!H5</f>
        <v>150</v>
      </c>
    </row>
  </sheetData>
  <dataValidations count="1">
    <dataValidation type="list" allowBlank="1" showInputMessage="1" showErrorMessage="1" sqref="F2:F40" xr:uid="{3AA8BA00-B47B-4A56-A5BB-0E553D4C6652}">
      <formula1>"USA"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ABF2-DBC8-4300-AD56-8AD4D494B7A1}">
  <dimension ref="A1:C7"/>
  <sheetViews>
    <sheetView workbookViewId="0">
      <selection activeCell="A2" sqref="A1:A1048576"/>
    </sheetView>
  </sheetViews>
  <sheetFormatPr defaultRowHeight="14.5" x14ac:dyDescent="0.35"/>
  <cols>
    <col min="1" max="1" width="23.26953125" customWidth="1"/>
    <col min="2" max="2" width="15" customWidth="1"/>
  </cols>
  <sheetData>
    <row r="1" spans="1:3" ht="18.5" x14ac:dyDescent="0.35">
      <c r="A1" s="5" t="s">
        <v>187</v>
      </c>
      <c r="B1" s="5"/>
    </row>
    <row r="2" spans="1:3" x14ac:dyDescent="0.35">
      <c r="A2" s="6" t="s">
        <v>188</v>
      </c>
      <c r="B2" s="12">
        <f>COUNTA(CleanData!A:A)-1</f>
        <v>39</v>
      </c>
    </row>
    <row r="3" spans="1:3" x14ac:dyDescent="0.35">
      <c r="A3" s="7" t="s">
        <v>189</v>
      </c>
      <c r="B3" s="13">
        <f>SUM(CleanData!H:H)</f>
        <v>12015</v>
      </c>
    </row>
    <row r="4" spans="1:3" x14ac:dyDescent="0.35">
      <c r="A4" s="8" t="s">
        <v>190</v>
      </c>
      <c r="B4" s="14">
        <f>AVERAGE(CleanData!H:H)</f>
        <v>308.07692307692309</v>
      </c>
    </row>
    <row r="5" spans="1:3" x14ac:dyDescent="0.35">
      <c r="A5" s="8" t="s">
        <v>191</v>
      </c>
      <c r="B5" s="14">
        <f>MAX(CleanData!H:H)</f>
        <v>600</v>
      </c>
    </row>
    <row r="6" spans="1:3" x14ac:dyDescent="0.35">
      <c r="A6" s="9" t="s">
        <v>192</v>
      </c>
      <c r="B6" s="11">
        <f>MIN(CleanData!H:H)</f>
        <v>150</v>
      </c>
    </row>
    <row r="7" spans="1:3" x14ac:dyDescent="0.35">
      <c r="B7" s="10"/>
      <c r="C7" s="15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CleanData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SUMAIYA AHMED</dc:creator>
  <cp:lastModifiedBy>SUMAIYA AHMED</cp:lastModifiedBy>
  <dcterms:created xsi:type="dcterms:W3CDTF">2026-08-09T21:39:45Z</dcterms:created>
  <dcterms:modified xsi:type="dcterms:W3CDTF">2026-08-09T23:43:30Z</dcterms:modified>
</cp:coreProperties>
</file>