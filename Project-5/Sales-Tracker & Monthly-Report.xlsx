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68" documentId="8_{DD5E0B73-0022-4BF6-83E7-4936841E7583}" xr6:coauthVersionLast="47" xr6:coauthVersionMax="47" xr10:uidLastSave="{8617B471-CACC-4A6C-BE03-A32A68F21640}"/>
  <bookViews>
    <workbookView xWindow="-110" yWindow="-110" windowWidth="19420" windowHeight="12220" xr2:uid="{BBCED207-EACC-4AA3-AE55-88723B147F9C}"/>
  </bookViews>
  <sheets>
    <sheet name="Sheet1" sheetId="1" r:id="rId1"/>
  </sheets>
  <definedNames>
    <definedName name="_xlnm._FilterDatabase" localSheetId="0" hidden="1">Sheet1!$A$4:$G$15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D15" i="1"/>
  <c r="G9" i="1"/>
  <c r="G6" i="1"/>
  <c r="G14" i="1"/>
  <c r="G5" i="1"/>
  <c r="G10" i="1"/>
  <c r="G13" i="1"/>
  <c r="G8" i="1"/>
  <c r="G7" i="1"/>
  <c r="G11" i="1"/>
  <c r="G12" i="1"/>
  <c r="C20" i="1" l="1"/>
  <c r="C21" i="1"/>
  <c r="G15" i="1"/>
  <c r="C19" i="1" l="1"/>
</calcChain>
</file>

<file path=xl/sharedStrings.xml><?xml version="1.0" encoding="utf-8"?>
<sst xmlns="http://schemas.openxmlformats.org/spreadsheetml/2006/main" count="47" uniqueCount="38">
  <si>
    <t>Date</t>
  </si>
  <si>
    <t>Product</t>
  </si>
  <si>
    <t>Category</t>
  </si>
  <si>
    <t>Quantity</t>
  </si>
  <si>
    <t>Unit Price</t>
  </si>
  <si>
    <t>Salesperson</t>
  </si>
  <si>
    <t>Keyboard</t>
  </si>
  <si>
    <t>Electronics</t>
  </si>
  <si>
    <t>Ali</t>
  </si>
  <si>
    <t>Mouse</t>
  </si>
  <si>
    <t>Sara</t>
  </si>
  <si>
    <t>Notebook</t>
  </si>
  <si>
    <t>Stationery</t>
  </si>
  <si>
    <t>John</t>
  </si>
  <si>
    <t>Printer</t>
  </si>
  <si>
    <t>Lina</t>
  </si>
  <si>
    <t>Pen Pack</t>
  </si>
  <si>
    <t>Ahmed</t>
  </si>
  <si>
    <t>Headphones</t>
  </si>
  <si>
    <t>Noor</t>
  </si>
  <si>
    <t>Backpack</t>
  </si>
  <si>
    <t>Accessories</t>
  </si>
  <si>
    <t>Omar</t>
  </si>
  <si>
    <t>Desk Lamp</t>
  </si>
  <si>
    <t>Furniture</t>
  </si>
  <si>
    <t>Maya</t>
  </si>
  <si>
    <t>USB Cable</t>
  </si>
  <si>
    <t>Office Chair</t>
  </si>
  <si>
    <t>Total Sales</t>
  </si>
  <si>
    <t>Total</t>
  </si>
  <si>
    <t>Sales Tracker and Monthly Report</t>
  </si>
  <si>
    <t>Summary</t>
  </si>
  <si>
    <t>Value</t>
  </si>
  <si>
    <t>Total Revenue</t>
  </si>
  <si>
    <t>Highest Sale</t>
  </si>
  <si>
    <t>Best Selling Product</t>
  </si>
  <si>
    <t>Total Transactions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</si>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</sst>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8"/>
      <color theme="9" tint="0.79998168889431442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2" borderId="0" xfId="2" applyBorder="1" applyAlignment="1">
      <alignment horizontal="center" vertical="center" wrapText="1"/>
    </xf>
    <xf numFmtId="164" fontId="0" fillId="0" borderId="0" xfId="1" applyNumberFormat="1" applyFont="1" applyBorder="1" applyAlignment="1">
      <alignment vertical="center" wrapText="1"/>
    </xf>
    <xf numFmtId="164" fontId="0" fillId="0" borderId="0" xfId="0" applyNumberFormat="1"/>
    <xf numFmtId="0" fontId="2" fillId="2" borderId="0" xfId="2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</cellXfs>
  <cellStyles count="3">
    <cellStyle name="Accent6" xfId="2" builtinId="49"/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DFB7-77B4-4E6C-B744-800B8B3B3717}">
  <dimension ref="A1:G23"/>
  <sheetViews>
    <sheetView tabSelected="1" zoomScale="93" zoomScaleNormal="108" workbookViewId="0">
      <selection activeCell="D20" sqref="D20"/>
    </sheetView>
  </sheetViews>
  <sheetFormatPr defaultRowHeight="13.5" x14ac:dyDescent="0.25"/>
  <cols>
    <col min="1" max="1" width="9.83203125" bestFit="1" customWidth="1"/>
    <col min="2" max="2" width="18.6640625" bestFit="1" customWidth="1"/>
    <col min="3" max="3" width="14" bestFit="1" customWidth="1"/>
    <col min="4" max="4" width="13" bestFit="1" customWidth="1"/>
    <col min="5" max="5" width="13.4140625" bestFit="1" customWidth="1"/>
    <col min="6" max="6" width="16" bestFit="1" customWidth="1"/>
    <col min="7" max="7" width="14.6640625" bestFit="1" customWidth="1"/>
    <col min="9" max="9" width="11.6640625" customWidth="1"/>
    <col min="10" max="10" width="10.83203125" customWidth="1"/>
  </cols>
  <sheetData>
    <row r="1" spans="1:7" ht="22.5" x14ac:dyDescent="0.45">
      <c r="A1" s="7" t="s">
        <v>30</v>
      </c>
      <c r="B1" s="7"/>
      <c r="C1" s="7"/>
      <c r="D1" s="7"/>
      <c r="E1" s="7"/>
      <c r="F1" s="7"/>
      <c r="G1" s="7"/>
    </row>
    <row r="4" spans="1:7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28</v>
      </c>
    </row>
    <row r="5" spans="1:7" x14ac:dyDescent="0.25">
      <c r="A5" s="2">
        <v>46145</v>
      </c>
      <c r="B5" s="1" t="s">
        <v>16</v>
      </c>
      <c r="C5" s="1" t="s">
        <v>12</v>
      </c>
      <c r="D5" s="1">
        <v>8</v>
      </c>
      <c r="E5" s="4">
        <v>3</v>
      </c>
      <c r="F5" s="1" t="s">
        <v>17</v>
      </c>
      <c r="G5" s="5">
        <f t="shared" ref="G5:G14" si="0">E5*D5</f>
        <v>24</v>
      </c>
    </row>
    <row r="6" spans="1:7" x14ac:dyDescent="0.25">
      <c r="A6" s="2">
        <v>46144</v>
      </c>
      <c r="B6" s="1" t="s">
        <v>11</v>
      </c>
      <c r="C6" s="1" t="s">
        <v>12</v>
      </c>
      <c r="D6" s="1">
        <v>10</v>
      </c>
      <c r="E6" s="4">
        <v>5</v>
      </c>
      <c r="F6" s="1" t="s">
        <v>13</v>
      </c>
      <c r="G6" s="5">
        <f t="shared" si="0"/>
        <v>50</v>
      </c>
    </row>
    <row r="7" spans="1:7" x14ac:dyDescent="0.25">
      <c r="A7" s="2">
        <v>46147</v>
      </c>
      <c r="B7" s="1" t="s">
        <v>26</v>
      </c>
      <c r="C7" s="1" t="s">
        <v>7</v>
      </c>
      <c r="D7" s="1">
        <v>6</v>
      </c>
      <c r="E7" s="4">
        <v>10</v>
      </c>
      <c r="F7" s="1" t="s">
        <v>8</v>
      </c>
      <c r="G7" s="5">
        <f t="shared" si="0"/>
        <v>60</v>
      </c>
    </row>
    <row r="8" spans="1:7" x14ac:dyDescent="0.25">
      <c r="A8" s="2">
        <v>46146</v>
      </c>
      <c r="B8" s="1" t="s">
        <v>23</v>
      </c>
      <c r="C8" s="1" t="s">
        <v>24</v>
      </c>
      <c r="D8" s="1">
        <v>2</v>
      </c>
      <c r="E8" s="4">
        <v>40</v>
      </c>
      <c r="F8" s="1" t="s">
        <v>25</v>
      </c>
      <c r="G8" s="5">
        <f t="shared" si="0"/>
        <v>80</v>
      </c>
    </row>
    <row r="9" spans="1:7" x14ac:dyDescent="0.25">
      <c r="A9" s="2">
        <v>46143</v>
      </c>
      <c r="B9" s="1" t="s">
        <v>9</v>
      </c>
      <c r="C9" s="1" t="s">
        <v>7</v>
      </c>
      <c r="D9" s="1">
        <v>5</v>
      </c>
      <c r="E9" s="4">
        <v>20</v>
      </c>
      <c r="F9" s="1" t="s">
        <v>10</v>
      </c>
      <c r="G9" s="5">
        <f t="shared" si="0"/>
        <v>100</v>
      </c>
    </row>
    <row r="10" spans="1:7" x14ac:dyDescent="0.25">
      <c r="A10" s="2">
        <v>46145</v>
      </c>
      <c r="B10" s="1" t="s">
        <v>18</v>
      </c>
      <c r="C10" s="1" t="s">
        <v>7</v>
      </c>
      <c r="D10" s="1">
        <v>2</v>
      </c>
      <c r="E10" s="4">
        <v>60</v>
      </c>
      <c r="F10" s="1" t="s">
        <v>19</v>
      </c>
      <c r="G10" s="5">
        <f t="shared" si="0"/>
        <v>120</v>
      </c>
    </row>
    <row r="11" spans="1:7" x14ac:dyDescent="0.25">
      <c r="A11" s="2">
        <v>46147</v>
      </c>
      <c r="B11" s="1" t="s">
        <v>27</v>
      </c>
      <c r="C11" s="1" t="s">
        <v>24</v>
      </c>
      <c r="D11" s="1">
        <v>1</v>
      </c>
      <c r="E11" s="4">
        <v>120</v>
      </c>
      <c r="F11" s="1" t="s">
        <v>10</v>
      </c>
      <c r="G11" s="5">
        <f t="shared" si="0"/>
        <v>120</v>
      </c>
    </row>
    <row r="12" spans="1:7" x14ac:dyDescent="0.25">
      <c r="A12" s="2">
        <v>46143</v>
      </c>
      <c r="B12" s="1" t="s">
        <v>6</v>
      </c>
      <c r="C12" s="1" t="s">
        <v>7</v>
      </c>
      <c r="D12" s="1">
        <v>3</v>
      </c>
      <c r="E12" s="4">
        <v>45</v>
      </c>
      <c r="F12" s="1" t="s">
        <v>8</v>
      </c>
      <c r="G12" s="5">
        <f t="shared" si="0"/>
        <v>135</v>
      </c>
    </row>
    <row r="13" spans="1:7" x14ac:dyDescent="0.25">
      <c r="A13" s="2">
        <v>46146</v>
      </c>
      <c r="B13" s="1" t="s">
        <v>20</v>
      </c>
      <c r="C13" s="1" t="s">
        <v>21</v>
      </c>
      <c r="D13" s="1">
        <v>4</v>
      </c>
      <c r="E13" s="4">
        <v>35</v>
      </c>
      <c r="F13" s="1" t="s">
        <v>22</v>
      </c>
      <c r="G13" s="5">
        <f t="shared" si="0"/>
        <v>140</v>
      </c>
    </row>
    <row r="14" spans="1:7" x14ac:dyDescent="0.25">
      <c r="A14" s="2">
        <v>46144</v>
      </c>
      <c r="B14" s="1" t="s">
        <v>14</v>
      </c>
      <c r="C14" s="1" t="s">
        <v>7</v>
      </c>
      <c r="D14" s="1">
        <v>1</v>
      </c>
      <c r="E14" s="4">
        <v>150</v>
      </c>
      <c r="F14" s="1" t="s">
        <v>15</v>
      </c>
      <c r="G14" s="5">
        <f t="shared" si="0"/>
        <v>150</v>
      </c>
    </row>
    <row r="15" spans="1:7" ht="14.5" thickBot="1" x14ac:dyDescent="0.35">
      <c r="A15" s="8" t="s">
        <v>29</v>
      </c>
      <c r="B15" s="8"/>
      <c r="C15" s="8"/>
      <c r="D15" s="8">
        <f>SUM(D5:D14)</f>
        <v>42</v>
      </c>
      <c r="E15" s="8"/>
      <c r="F15" s="8"/>
      <c r="G15" s="9">
        <f>SUM(G5:G14)</f>
        <v>979</v>
      </c>
    </row>
    <row r="17" spans="2:3" x14ac:dyDescent="0.25">
      <c r="B17" s="1"/>
    </row>
    <row r="18" spans="2:3" x14ac:dyDescent="0.25">
      <c r="B18" s="6" t="s">
        <v>31</v>
      </c>
      <c r="C18" s="6" t="s">
        <v>32</v>
      </c>
    </row>
    <row r="19" spans="2:3" x14ac:dyDescent="0.25">
      <c r="B19" t="s">
        <v>33</v>
      </c>
      <c r="C19" s="5">
        <f>G15</f>
        <v>979</v>
      </c>
    </row>
    <row r="20" spans="2:3" x14ac:dyDescent="0.25">
      <c r="B20" t="s">
        <v>34</v>
      </c>
      <c r="C20" s="5">
        <f>MAX(G5:G14)</f>
        <v>150</v>
      </c>
    </row>
    <row r="21" spans="2:3" x14ac:dyDescent="0.25">
      <c r="B21" t="s">
        <v>37</v>
      </c>
      <c r="C21" s="5">
        <f>MIN(G5:G14)</f>
        <v>24</v>
      </c>
    </row>
    <row r="22" spans="2:3" x14ac:dyDescent="0.25">
      <c r="B22" t="s">
        <v>35</v>
      </c>
      <c r="C22" t="s">
        <v>11</v>
      </c>
    </row>
    <row r="23" spans="2:3" x14ac:dyDescent="0.25">
      <c r="B23" t="s">
        <v>36</v>
      </c>
      <c r="C23">
        <f>COUNTA(C5:C14)</f>
        <v>10</v>
      </c>
    </row>
  </sheetData>
  <autoFilter ref="A4:G15" xr:uid="{A51BDFB7-77B4-4E6C-B744-800B8B3B3717}"/>
  <sortState xmlns:xlrd2="http://schemas.microsoft.com/office/spreadsheetml/2017/richdata2" ref="A5:G15">
    <sortCondition ref="G5:G15"/>
  </sortState>
  <mergeCells count="1">
    <mergeCell ref="A1:G1"/>
  </mergeCells>
  <conditionalFormatting sqref="G5:G14">
    <cfRule type="cellIs" dxfId="1" priority="1" operator="lessThan">
      <formula>101</formula>
    </cfRule>
    <cfRule type="cellIs" dxfId="0" priority="2" operator="greaterThan">
      <formula>100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2026-05-14T18:11:01Z</dcterms:created>
  <dcterms:modified xsi:type="dcterms:W3CDTF">2026-05-17T18:00:14Z</dcterms:modified>
</cp:coreProperties>
</file>