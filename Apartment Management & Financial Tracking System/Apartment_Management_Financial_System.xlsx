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2134" documentId="8_{4D0BC419-2B96-4177-930E-74BBEB966BEF}" xr6:coauthVersionLast="47" xr6:coauthVersionMax="47" xr10:uidLastSave="{95BC2118-9F9A-45B5-9041-48D77D819D5F}"/>
  <bookViews>
    <workbookView xWindow="-110" yWindow="-110" windowWidth="19420" windowHeight="12220" firstSheet="2" activeTab="7" xr2:uid="{BE7C4C18-E004-416B-B267-AD87BA8ACE04}"/>
  </bookViews>
  <sheets>
    <sheet name="Home" sheetId="2" r:id="rId1"/>
    <sheet name="Apartments" sheetId="1" r:id="rId2"/>
    <sheet name="Tenants" sheetId="3" r:id="rId3"/>
    <sheet name="Rent_Payments" sheetId="4" r:id="rId4"/>
    <sheet name="Maintenance" sheetId="5" r:id="rId5"/>
    <sheet name="Expenses" sheetId="6" r:id="rId6"/>
    <sheet name="Analysis" sheetId="7" r:id="rId7"/>
    <sheet name="Dashboar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4" i="8" l="1"/>
  <c r="AE5" i="8"/>
  <c r="AE3" i="8"/>
  <c r="AB8" i="8"/>
  <c r="AB5" i="8"/>
  <c r="AB6" i="8"/>
  <c r="AB9" i="8"/>
  <c r="AB7" i="8"/>
  <c r="AB10" i="8"/>
  <c r="AB11" i="8"/>
  <c r="AB12" i="8"/>
  <c r="AB4" i="8"/>
  <c r="AC15" i="8"/>
  <c r="AC14" i="8"/>
  <c r="AB15" i="8"/>
  <c r="AB14" i="8"/>
  <c r="AD17" i="8"/>
  <c r="AB17" i="8"/>
  <c r="E26" i="7"/>
  <c r="H20" i="7"/>
  <c r="H21" i="7"/>
  <c r="H22" i="7"/>
  <c r="G21" i="7"/>
  <c r="G22" i="7"/>
  <c r="G20" i="7"/>
  <c r="E22" i="7"/>
  <c r="AH3" i="8" s="1"/>
  <c r="E21" i="7"/>
  <c r="AB18" i="8" s="1"/>
  <c r="L11" i="7"/>
  <c r="L10" i="7"/>
  <c r="L12" i="7" s="1"/>
  <c r="H10" i="7"/>
  <c r="L9" i="7" s="1"/>
  <c r="D13" i="7"/>
  <c r="D11" i="7"/>
  <c r="AH6" i="8" s="1"/>
  <c r="N37" i="8" s="1"/>
  <c r="D10" i="7"/>
  <c r="D9" i="7"/>
  <c r="L2" i="5"/>
  <c r="L3" i="5"/>
  <c r="L4" i="5"/>
  <c r="L5" i="5"/>
  <c r="L6" i="5"/>
  <c r="L7" i="5"/>
  <c r="L8" i="5"/>
  <c r="L9" i="5"/>
  <c r="L10" i="5"/>
  <c r="L11" i="5"/>
  <c r="L13" i="5"/>
  <c r="L15" i="5"/>
  <c r="L18" i="5"/>
  <c r="K2" i="5"/>
  <c r="K3" i="5"/>
  <c r="K4" i="5"/>
  <c r="K5" i="5"/>
  <c r="K6" i="5"/>
  <c r="K7" i="5"/>
  <c r="K8" i="5"/>
  <c r="K9" i="5"/>
  <c r="K10" i="5"/>
  <c r="K11" i="5"/>
  <c r="K12" i="5"/>
  <c r="L12" i="5" s="1"/>
  <c r="K13" i="5"/>
  <c r="K14" i="5"/>
  <c r="L14" i="5" s="1"/>
  <c r="K15" i="5"/>
  <c r="K16" i="5"/>
  <c r="L16" i="5" s="1"/>
  <c r="K17" i="5"/>
  <c r="L17" i="5" s="1"/>
  <c r="K18" i="5"/>
  <c r="K19" i="5"/>
  <c r="L19" i="5" s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I3" i="3"/>
  <c r="E6" i="4" s="1"/>
  <c r="J6" i="4" s="1"/>
  <c r="I4" i="3"/>
  <c r="E7" i="4" s="1"/>
  <c r="J7" i="4" s="1"/>
  <c r="I5" i="3"/>
  <c r="E8" i="4" s="1"/>
  <c r="J8" i="4" s="1"/>
  <c r="I6" i="3"/>
  <c r="E9" i="4" s="1"/>
  <c r="J9" i="4" s="1"/>
  <c r="I7" i="3"/>
  <c r="E22" i="4" s="1"/>
  <c r="J22" i="4" s="1"/>
  <c r="I8" i="3"/>
  <c r="E11" i="4" s="1"/>
  <c r="J11" i="4" s="1"/>
  <c r="I9" i="3"/>
  <c r="E12" i="4" s="1"/>
  <c r="J12" i="4" s="1"/>
  <c r="I10" i="3"/>
  <c r="E13" i="4" s="1"/>
  <c r="G13" i="4" s="1"/>
  <c r="I11" i="3"/>
  <c r="E26" i="4" s="1"/>
  <c r="J26" i="4" s="1"/>
  <c r="I12" i="3"/>
  <c r="E27" i="4" s="1"/>
  <c r="G27" i="4" s="1"/>
  <c r="I13" i="3"/>
  <c r="E16" i="4" s="1"/>
  <c r="G16" i="4" s="1"/>
  <c r="I2" i="3"/>
  <c r="E5" i="4" s="1"/>
  <c r="H6" i="8" l="1"/>
  <c r="E24" i="4"/>
  <c r="J24" i="4" s="1"/>
  <c r="E23" i="4"/>
  <c r="J23" i="4" s="1"/>
  <c r="E10" i="4"/>
  <c r="J10" i="4" s="1"/>
  <c r="N28" i="8"/>
  <c r="D6" i="8"/>
  <c r="E15" i="4"/>
  <c r="G15" i="4" s="1"/>
  <c r="E14" i="4"/>
  <c r="J14" i="4" s="1"/>
  <c r="H5" i="8"/>
  <c r="AB19" i="8"/>
  <c r="D12" i="7"/>
  <c r="D5" i="8" s="1"/>
  <c r="AE15" i="8"/>
  <c r="AB3" i="8"/>
  <c r="AF14" i="8"/>
  <c r="AE14" i="8"/>
  <c r="AF15" i="8"/>
  <c r="E21" i="4"/>
  <c r="J21" i="4" s="1"/>
  <c r="H13" i="7"/>
  <c r="L13" i="7"/>
  <c r="P5" i="8" s="1"/>
  <c r="K28" i="7"/>
  <c r="E27" i="7"/>
  <c r="K27" i="7" s="1"/>
  <c r="AH7" i="8" s="1"/>
  <c r="N40" i="8" s="1"/>
  <c r="E28" i="7"/>
  <c r="I22" i="7"/>
  <c r="AC19" i="8" s="1"/>
  <c r="J22" i="7"/>
  <c r="I20" i="7"/>
  <c r="AC17" i="8" s="1"/>
  <c r="I21" i="7"/>
  <c r="G5" i="4"/>
  <c r="E19" i="4"/>
  <c r="J19" i="4" s="1"/>
  <c r="E18" i="4"/>
  <c r="J18" i="4" s="1"/>
  <c r="E17" i="4"/>
  <c r="G17" i="4" s="1"/>
  <c r="E25" i="4"/>
  <c r="J25" i="4" s="1"/>
  <c r="E20" i="4"/>
  <c r="J20" i="4" s="1"/>
  <c r="G24" i="4"/>
  <c r="G23" i="4"/>
  <c r="G22" i="4"/>
  <c r="G21" i="4"/>
  <c r="G7" i="4"/>
  <c r="G6" i="4"/>
  <c r="G26" i="4"/>
  <c r="G9" i="4"/>
  <c r="G12" i="4"/>
  <c r="G11" i="4"/>
  <c r="G10" i="4"/>
  <c r="G25" i="4"/>
  <c r="G8" i="4"/>
  <c r="J17" i="4"/>
  <c r="J13" i="4"/>
  <c r="G14" i="4"/>
  <c r="J5" i="4"/>
  <c r="J16" i="4"/>
  <c r="J27" i="4"/>
  <c r="D21" i="7" l="1"/>
  <c r="J15" i="4"/>
  <c r="J21" i="7"/>
  <c r="AD18" i="8" s="1"/>
  <c r="AC18" i="8"/>
  <c r="G19" i="4"/>
  <c r="AD19" i="8"/>
  <c r="F21" i="7"/>
  <c r="D22" i="7"/>
  <c r="G18" i="4"/>
  <c r="H9" i="7"/>
  <c r="H12" i="7" s="1"/>
  <c r="G20" i="4"/>
  <c r="AH5" i="8" l="1"/>
  <c r="F22" i="7"/>
  <c r="P6" i="8"/>
  <c r="H11" i="7"/>
  <c r="K26" i="7" s="1"/>
  <c r="L5" i="8" s="1"/>
  <c r="N34" i="8" l="1"/>
  <c r="L6" i="8"/>
  <c r="AH4" i="8"/>
  <c r="N31" i="8" l="1"/>
</calcChain>
</file>

<file path=xl/sharedStrings.xml><?xml version="1.0" encoding="utf-8"?>
<sst xmlns="http://schemas.openxmlformats.org/spreadsheetml/2006/main" count="637" uniqueCount="329">
  <si>
    <t>Apartment_ID</t>
  </si>
  <si>
    <t>Building</t>
  </si>
  <si>
    <t>Floor</t>
  </si>
  <si>
    <t>Unit_Number</t>
  </si>
  <si>
    <t>Apartment_Type</t>
  </si>
  <si>
    <t>Bedrooms</t>
  </si>
  <si>
    <t>Monthly_Rent</t>
  </si>
  <si>
    <t>Occupancy_Status</t>
  </si>
  <si>
    <t>Tenant_ID</t>
  </si>
  <si>
    <t>First_Name</t>
  </si>
  <si>
    <t>Last_Name</t>
  </si>
  <si>
    <t>Phone</t>
  </si>
  <si>
    <t>Email</t>
  </si>
  <si>
    <t>Lease_Start</t>
  </si>
  <si>
    <t>Lease_End</t>
  </si>
  <si>
    <t>Tenant_Status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</si>
  <si>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</si>
  <si>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</si>
  <si>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</si>
  <si>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</si>
  <si>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</si>
  <si>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</si>
  <si>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</si>
  <si>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</si>
  <si>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</si>
  <si>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Building A</t>
  </si>
  <si>
    <t>Studio</t>
  </si>
  <si>
    <t>Occupied</t>
  </si>
  <si>
    <t>1 Bedroom</t>
  </si>
  <si>
    <t>2 Bedroom</t>
  </si>
  <si>
    <t>Vacant</t>
  </si>
  <si>
    <t>3 Bedroom</t>
  </si>
  <si>
    <t>B001</t>
  </si>
  <si>
    <t>Building B</t>
  </si>
  <si>
    <t>B002</t>
  </si>
  <si>
    <t>B003</t>
  </si>
  <si>
    <t>B004</t>
  </si>
  <si>
    <t>B005</t>
  </si>
  <si>
    <t>B006</t>
  </si>
  <si>
    <t>B007</t>
  </si>
  <si>
    <t>T001</t>
  </si>
  <si>
    <t>Omar</t>
  </si>
  <si>
    <t>Hassan</t>
  </si>
  <si>
    <t>omar.hassan@example.com</t>
  </si>
  <si>
    <t>Active</t>
  </si>
  <si>
    <t>T002</t>
  </si>
  <si>
    <t>Lina</t>
  </si>
  <si>
    <t>Ahmed</t>
  </si>
  <si>
    <t>lina.ahmed@example.com</t>
  </si>
  <si>
    <t>T003</t>
  </si>
  <si>
    <t>Youssef</t>
  </si>
  <si>
    <t>Ali</t>
  </si>
  <si>
    <t>youssef.ali@example.com</t>
  </si>
  <si>
    <t>T004</t>
  </si>
  <si>
    <t>Mariam</t>
  </si>
  <si>
    <t>Khalid</t>
  </si>
  <si>
    <t>mariam.khalid@example.com</t>
  </si>
  <si>
    <t>T005</t>
  </si>
  <si>
    <t>Adam</t>
  </si>
  <si>
    <t>Ibrahim</t>
  </si>
  <si>
    <t>adam.ibrahim@example.com</t>
  </si>
  <si>
    <t>T006</t>
  </si>
  <si>
    <t>Sara</t>
  </si>
  <si>
    <t>Mahmoud</t>
  </si>
  <si>
    <t>sara.mahmoud@example.com</t>
  </si>
  <si>
    <t>T007</t>
  </si>
  <si>
    <t>Noor</t>
  </si>
  <si>
    <t>Saleh</t>
  </si>
  <si>
    <t>noor.saleh@example.com</t>
  </si>
  <si>
    <t>T008</t>
  </si>
  <si>
    <t>Zain</t>
  </si>
  <si>
    <t>Abdullah</t>
  </si>
  <si>
    <t>zain.abdullah@example.com</t>
  </si>
  <si>
    <t>T009</t>
  </si>
  <si>
    <t>Huda</t>
  </si>
  <si>
    <t>Nasser</t>
  </si>
  <si>
    <t>huda.nasser@example.com</t>
  </si>
  <si>
    <t>T010</t>
  </si>
  <si>
    <t>Faisal</t>
  </si>
  <si>
    <t>Hamad</t>
  </si>
  <si>
    <t>faisal.hamad@example.com</t>
  </si>
  <si>
    <t>T011</t>
  </si>
  <si>
    <t>Reem</t>
  </si>
  <si>
    <t>Saad</t>
  </si>
  <si>
    <t>reem.saad@example.com</t>
  </si>
  <si>
    <t>T012</t>
  </si>
  <si>
    <t>Layla</t>
  </si>
  <si>
    <t>Mustafa</t>
  </si>
  <si>
    <t>layla.mustafa@example.com</t>
  </si>
  <si>
    <t>Payment_ID</t>
  </si>
  <si>
    <t>Payment_Month</t>
  </si>
  <si>
    <t>Due_Amount</t>
  </si>
  <si>
    <t>Paid_Amount</t>
  </si>
  <si>
    <t>Payment_Date</t>
  </si>
  <si>
    <t>Payment_Method</t>
  </si>
  <si>
    <t>Payment_Status</t>
  </si>
  <si>
    <t>P001</t>
  </si>
  <si>
    <t>Bank Transfer</t>
  </si>
  <si>
    <t>P002</t>
  </si>
  <si>
    <t>P003</t>
  </si>
  <si>
    <t>Cash</t>
  </si>
  <si>
    <t>P004</t>
  </si>
  <si>
    <t>Card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</si>
  <si>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</si>
  <si>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</si>
  <si>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</si>
  <si>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</si>
  <si>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</si>
  <si>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</si>
  <si>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</si>
  <si>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</si>
  <si>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</si>
  <si>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</si>
  <si>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</si>
  <si>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</si>
  <si>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</si>
  <si>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</si>
  <si>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</si>
  <si>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</si>
  <si>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</si>
  <si>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</si>
  <si>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</si>
  <si>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Request_ID</t>
  </si>
  <si>
    <t>Request_Date</t>
  </si>
  <si>
    <t>Category</t>
  </si>
  <si>
    <t>Description</t>
  </si>
  <si>
    <t>Priority</t>
  </si>
  <si>
    <t>Maintenance_Status</t>
  </si>
  <si>
    <t>Completion_Date</t>
  </si>
  <si>
    <t>Cost</t>
  </si>
  <si>
    <t>Vendor</t>
  </si>
  <si>
    <t>M001</t>
  </si>
  <si>
    <t>Plumbing</t>
  </si>
  <si>
    <t>Kitchen sink leakage</t>
  </si>
  <si>
    <t>Medium</t>
  </si>
  <si>
    <t>Completed</t>
  </si>
  <si>
    <t>Al Noor Maintenance</t>
  </si>
  <si>
    <t>M002</t>
  </si>
  <si>
    <t>Electrical</t>
  </si>
  <si>
    <t>Bedroom light issue</t>
  </si>
  <si>
    <t>Low</t>
  </si>
  <si>
    <t>BrightFix Services</t>
  </si>
  <si>
    <t>M003</t>
  </si>
  <si>
    <t>AC</t>
  </si>
  <si>
    <t>AC not cooling properly</t>
  </si>
  <si>
    <t>High</t>
  </si>
  <si>
    <t>CoolAir Services</t>
  </si>
  <si>
    <t>M004</t>
  </si>
  <si>
    <t>Bathroom pipe leakage</t>
  </si>
  <si>
    <t>M005</t>
  </si>
  <si>
    <t>Power outlet damaged</t>
  </si>
  <si>
    <t>M006</t>
  </si>
  <si>
    <t>Appliance</t>
  </si>
  <si>
    <t>Refrigerator repair</t>
  </si>
  <si>
    <t>HomeTech Repairs</t>
  </si>
  <si>
    <t>M007</t>
  </si>
  <si>
    <t>AC filter replacement</t>
  </si>
  <si>
    <t>M008</t>
  </si>
  <si>
    <t>Low water pressure</t>
  </si>
  <si>
    <t>M009</t>
  </si>
  <si>
    <t>Ceiling light failure</t>
  </si>
  <si>
    <t>M010</t>
  </si>
  <si>
    <t>AC water leakage</t>
  </si>
  <si>
    <t>In Progress</t>
  </si>
  <si>
    <t>M011</t>
  </si>
  <si>
    <t>Washing machine issue</t>
  </si>
  <si>
    <t>Pending</t>
  </si>
  <si>
    <t>M012</t>
  </si>
  <si>
    <t>Shower drain blocked</t>
  </si>
  <si>
    <t>M013</t>
  </si>
  <si>
    <t>Painting</t>
  </si>
  <si>
    <t>Repaint vacant apartment</t>
  </si>
  <si>
    <t>FreshCo Paints</t>
  </si>
  <si>
    <t>M014</t>
  </si>
  <si>
    <t>Cleaning</t>
  </si>
  <si>
    <t>Deep cleaning before rental</t>
  </si>
  <si>
    <t>Sparkle Cleaning</t>
  </si>
  <si>
    <t>M015</t>
  </si>
  <si>
    <t>Replace damaged switches</t>
  </si>
  <si>
    <t>M016</t>
  </si>
  <si>
    <t>Toilet flush issue</t>
  </si>
  <si>
    <t>M017</t>
  </si>
  <si>
    <t>Routine AC maintenance</t>
  </si>
  <si>
    <t>M018</t>
  </si>
  <si>
    <t>Oven heating issue</t>
  </si>
  <si>
    <t>Expense_ID</t>
  </si>
  <si>
    <t>Expense_Date</t>
  </si>
  <si>
    <t>Expense_Category</t>
  </si>
  <si>
    <t>Amount</t>
  </si>
  <si>
    <t>E001</t>
  </si>
  <si>
    <t>Utilities</t>
  </si>
  <si>
    <t>Building A electricity</t>
  </si>
  <si>
    <t>Utility Company</t>
  </si>
  <si>
    <t>E002</t>
  </si>
  <si>
    <t>Building B electricity</t>
  </si>
  <si>
    <t>E003</t>
  </si>
  <si>
    <t>Common area cleaning</t>
  </si>
  <si>
    <t>E004</t>
  </si>
  <si>
    <t>E005</t>
  </si>
  <si>
    <t>Security</t>
  </si>
  <si>
    <t>Monthly security service</t>
  </si>
  <si>
    <t>Both</t>
  </si>
  <si>
    <t>SafeGuard Security</t>
  </si>
  <si>
    <t>E006</t>
  </si>
  <si>
    <t>Internet</t>
  </si>
  <si>
    <t>Building internet service</t>
  </si>
  <si>
    <t>ConnectNet</t>
  </si>
  <si>
    <t>E007</t>
  </si>
  <si>
    <t>E008</t>
  </si>
  <si>
    <t>E009</t>
  </si>
  <si>
    <t>E010</t>
  </si>
  <si>
    <t>E011</t>
  </si>
  <si>
    <t>E012</t>
  </si>
  <si>
    <t>E013</t>
  </si>
  <si>
    <t>Supplies</t>
  </si>
  <si>
    <t>Cleaning and maintenance supplies</t>
  </si>
  <si>
    <t>Local Supplier</t>
  </si>
  <si>
    <t>E014</t>
  </si>
  <si>
    <t>E015</t>
  </si>
  <si>
    <t>E016</t>
  </si>
  <si>
    <t>E017</t>
  </si>
  <si>
    <t>E018</t>
  </si>
  <si>
    <t>E019</t>
  </si>
  <si>
    <t>E020</t>
  </si>
  <si>
    <t>Insurance</t>
  </si>
  <si>
    <t>Property insurance payment</t>
  </si>
  <si>
    <t>SecureHome Insurance</t>
  </si>
  <si>
    <t>E021</t>
  </si>
  <si>
    <t>Office stationery</t>
  </si>
  <si>
    <t>Office Mart</t>
  </si>
  <si>
    <t>E022</t>
  </si>
  <si>
    <t>Administration</t>
  </si>
  <si>
    <t>Property management software</t>
  </si>
  <si>
    <t>PropertySoft</t>
  </si>
  <si>
    <t>E023</t>
  </si>
  <si>
    <t>Landscaping</t>
  </si>
  <si>
    <t>Outdoor landscaping service</t>
  </si>
  <si>
    <t>GreenScape</t>
  </si>
  <si>
    <t>E024</t>
  </si>
  <si>
    <t>Pest Control</t>
  </si>
  <si>
    <t>Routine pest control</t>
  </si>
  <si>
    <t>PestAway Services</t>
  </si>
  <si>
    <t>Balance</t>
  </si>
  <si>
    <t>Payment_Timing</t>
  </si>
  <si>
    <t>Rent Due Date(Month)</t>
  </si>
  <si>
    <t>Days_Open</t>
  </si>
  <si>
    <t>Attention_Flag</t>
  </si>
  <si>
    <t>APARTMENT MANAGEMENT &amp; FINANCIAL ANALYSIS</t>
  </si>
  <si>
    <t>Property Performance &amp; Operational Report</t>
  </si>
  <si>
    <t>PROPERTY OVERVIEW</t>
  </si>
  <si>
    <t>Total Apartments</t>
  </si>
  <si>
    <t>Occupied Apartments</t>
  </si>
  <si>
    <t>Vacant Apartments</t>
  </si>
  <si>
    <t>Occupancy Rate</t>
  </si>
  <si>
    <t>Potential Monthly Rent</t>
  </si>
  <si>
    <t>RENT PERFORMANCE</t>
  </si>
  <si>
    <t>Total Rent Due</t>
  </si>
  <si>
    <t>Rent Collected</t>
  </si>
  <si>
    <t>Outstanding Balance</t>
  </si>
  <si>
    <t>Collection Rate</t>
  </si>
  <si>
    <t>Late Payments</t>
  </si>
  <si>
    <t>FINANCIAL SUMMARY</t>
  </si>
  <si>
    <t>Rental Income</t>
  </si>
  <si>
    <t>Operating Expenses</t>
  </si>
  <si>
    <t>Maintenance Cost</t>
  </si>
  <si>
    <t>Total Costs</t>
  </si>
  <si>
    <t>Net Operating Result</t>
  </si>
  <si>
    <t>MONTHLY FINANCIAL PERFORMANCE</t>
  </si>
  <si>
    <t>Month</t>
  </si>
  <si>
    <t>Rent Due</t>
  </si>
  <si>
    <t>Outstanding</t>
  </si>
  <si>
    <t>Net Result</t>
  </si>
  <si>
    <t>N/A</t>
  </si>
  <si>
    <t>MAINTENANCE PERFORMANCE</t>
  </si>
  <si>
    <t>Open Requests</t>
  </si>
  <si>
    <t>Urgent Requests</t>
  </si>
  <si>
    <t>Avg Resolution Days</t>
  </si>
  <si>
    <t>MANAGEMENT ATTENTION</t>
  </si>
  <si>
    <t>Outstanding Rent</t>
  </si>
  <si>
    <t>Urgent Maintenance</t>
  </si>
  <si>
    <t>Vacant Units</t>
  </si>
  <si>
    <t>APARTMENT MANAGEMENT DASHBOARD</t>
  </si>
  <si>
    <t xml:space="preserve">APARTMENT MANAGEMENT
</t>
  </si>
  <si>
    <t>OCCUPANCY RATE</t>
  </si>
  <si>
    <t>RENT COLLECTED</t>
  </si>
  <si>
    <t>OUTSTANDING RENT</t>
  </si>
  <si>
    <t>NET OPERATING RESULT</t>
  </si>
  <si>
    <t>Occupied %</t>
  </si>
  <si>
    <t>Vacant %</t>
  </si>
  <si>
    <t>Expense Category</t>
  </si>
  <si>
    <t>Other</t>
  </si>
  <si>
    <t>Maintenance Status</t>
  </si>
  <si>
    <t>Requests</t>
  </si>
  <si>
    <t>QUICK INSIGHTS</t>
  </si>
  <si>
    <t xml:space="preserve">         Dashboard</t>
  </si>
  <si>
    <t xml:space="preserve">         Analysis</t>
  </si>
  <si>
    <t xml:space="preserve">        Apartments</t>
  </si>
  <si>
    <r>
      <t xml:space="preserve">         </t>
    </r>
    <r>
      <rPr>
        <b/>
        <sz val="12"/>
        <color theme="0"/>
        <rFont val="Aptos Narrow"/>
        <family val="2"/>
        <scheme val="minor"/>
      </rPr>
      <t>Tenants</t>
    </r>
  </si>
  <si>
    <t xml:space="preserve">         Rent Payments</t>
  </si>
  <si>
    <t xml:space="preserve">         Maintenance</t>
  </si>
  <si>
    <t xml:space="preserve">         Expenses</t>
  </si>
  <si>
    <t xml:space="preserve">  </t>
  </si>
  <si>
    <t xml:space="preserve">  Executive Property Performance Overview</t>
  </si>
  <si>
    <t>Quick Insights</t>
  </si>
  <si>
    <t>APARTMENT MANAGEMENT SYSTEM</t>
  </si>
  <si>
    <t>Property Operations &amp; Financial Tracking</t>
  </si>
  <si>
    <t>Welcome to the Apartment Management System</t>
  </si>
  <si>
    <t>Manage apartments, tenants, rent payments, maintenance, expenses, and property performance from one centralized Excel workbook.</t>
  </si>
  <si>
    <t>DASHBOARD</t>
  </si>
  <si>
    <t>Executive Property Overview</t>
  </si>
  <si>
    <t>View key property, financial, occupancy, and maintenance performance.</t>
  </si>
  <si>
    <t>APARTMENTS</t>
  </si>
  <si>
    <t>Unit &amp; Occupancy Management</t>
  </si>
  <si>
    <t>View apartment details, rent rates, and occupancy status.</t>
  </si>
  <si>
    <t>TENANTS</t>
  </si>
  <si>
    <t>Tenant &amp; Lease Records</t>
  </si>
  <si>
    <t>Manage tenant information, leases, and assigned apartments.</t>
  </si>
  <si>
    <t>RENT PAYMENTS</t>
  </si>
  <si>
    <t>Rent Collection Tracking</t>
  </si>
  <si>
    <t>Monitor payments, outstanding balances, and payment timing.</t>
  </si>
  <si>
    <t>MAINTENANCE</t>
  </si>
  <si>
    <t>Maintenance Management</t>
  </si>
  <si>
    <t>Track service requests, priorities, costs, and completion status.</t>
  </si>
  <si>
    <t>EXPENSES</t>
  </si>
  <si>
    <t>Operating Expense Tracking</t>
  </si>
  <si>
    <t>Review property expenses by category, building, and vendor</t>
  </si>
  <si>
    <t>ANALYSIS</t>
  </si>
  <si>
    <t>Property Performance Analysis</t>
  </si>
  <si>
    <t>Review financial, occupancy, rent, and maintenance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</si>
</sst>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  <numFmt numFmtId="166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22"/>
      <color rgb="FF000080"/>
      <name val="Aptos Narrow"/>
      <family val="2"/>
      <scheme val="minor"/>
    </font>
    <font>
      <b/>
      <sz val="10"/>
      <color rgb="FF9CA3A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rial Unicode MS"/>
    </font>
    <font>
      <b/>
      <sz val="20"/>
      <color rgb="FF000080"/>
      <name val="Aptos Narrow"/>
      <family val="2"/>
      <scheme val="minor"/>
    </font>
    <font>
      <sz val="9"/>
      <color theme="2" tint="-0.749992370372631"/>
      <name val="Aptos Narrow"/>
      <family val="2"/>
      <scheme val="minor"/>
    </font>
    <font>
      <sz val="10"/>
      <color theme="9" tint="-0.499984740745262"/>
      <name val="Aptos Narrow"/>
      <family val="2"/>
      <scheme val="minor"/>
    </font>
    <font>
      <sz val="9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rgb="FF000080"/>
      <name val="Aptos Narrow"/>
      <family val="2"/>
      <scheme val="minor"/>
    </font>
    <font>
      <b/>
      <sz val="24"/>
      <color rgb="FF000080"/>
      <name val="Aptos Narrow"/>
      <family val="2"/>
      <scheme val="minor"/>
    </font>
    <font>
      <sz val="12"/>
      <color theme="2" tint="-0.749992370372631"/>
      <name val="Aptos Narrow"/>
      <family val="2"/>
      <scheme val="minor"/>
    </font>
    <font>
      <b/>
      <sz val="14"/>
      <color rgb="FF00008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B3A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0080"/>
      </top>
      <bottom/>
      <diagonal/>
    </border>
    <border>
      <left/>
      <right/>
      <top/>
      <bottom style="thick">
        <color rgb="FF000080"/>
      </bottom>
      <diagonal/>
    </border>
    <border>
      <left/>
      <right/>
      <top style="thin">
        <color rgb="FF000080"/>
      </top>
      <bottom/>
      <diagonal/>
    </border>
    <border>
      <left/>
      <right/>
      <top/>
      <bottom style="thin">
        <color rgb="FF00008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44" fontId="0" fillId="0" borderId="0" xfId="1" applyFont="1"/>
    <xf numFmtId="44" fontId="0" fillId="0" borderId="0" xfId="1" applyFont="1" applyAlignment="1">
      <alignment horizontal="right" vertical="center" wrapText="1"/>
    </xf>
    <xf numFmtId="0" fontId="4" fillId="0" borderId="0" xfId="2" applyAlignment="1">
      <alignment vertical="center" wrapText="1"/>
    </xf>
    <xf numFmtId="14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44" fontId="0" fillId="0" borderId="0" xfId="1" applyFont="1" applyAlignment="1">
      <alignment horizontal="center" vertical="center" wrapText="1"/>
    </xf>
    <xf numFmtId="44" fontId="0" fillId="0" borderId="0" xfId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44" fontId="5" fillId="0" borderId="0" xfId="1" applyFont="1" applyAlignment="1">
      <alignment horizontal="center" vertical="center" wrapText="1"/>
    </xf>
    <xf numFmtId="14" fontId="6" fillId="0" borderId="0" xfId="0" applyNumberFormat="1" applyFont="1"/>
    <xf numFmtId="44" fontId="6" fillId="0" borderId="0" xfId="1" applyFont="1"/>
    <xf numFmtId="44" fontId="1" fillId="0" borderId="0" xfId="1" applyFont="1" applyAlignment="1">
      <alignment vertical="center" wrapText="1"/>
    </xf>
    <xf numFmtId="44" fontId="0" fillId="0" borderId="0" xfId="1" applyFont="1" applyAlignment="1">
      <alignment horizontal="left" wrapText="1"/>
    </xf>
    <xf numFmtId="1" fontId="0" fillId="0" borderId="0" xfId="0" applyNumberFormat="1" applyAlignment="1">
      <alignment vertical="center" wrapText="1"/>
    </xf>
    <xf numFmtId="0" fontId="0" fillId="0" borderId="4" xfId="0" applyBorder="1"/>
    <xf numFmtId="44" fontId="0" fillId="0" borderId="0" xfId="1" applyFont="1" applyAlignment="1">
      <alignment horizontal="left" vertical="center" wrapText="1"/>
    </xf>
    <xf numFmtId="0" fontId="8" fillId="0" borderId="0" xfId="0" applyFont="1"/>
    <xf numFmtId="0" fontId="8" fillId="0" borderId="3" xfId="0" applyFont="1" applyBorder="1"/>
    <xf numFmtId="0" fontId="8" fillId="0" borderId="5" xfId="0" applyFont="1" applyBorder="1"/>
    <xf numFmtId="0" fontId="9" fillId="0" borderId="4" xfId="0" applyFont="1" applyBorder="1"/>
    <xf numFmtId="9" fontId="9" fillId="0" borderId="4" xfId="3" applyFont="1" applyBorder="1"/>
    <xf numFmtId="44" fontId="9" fillId="0" borderId="7" xfId="0" applyNumberFormat="1" applyFont="1" applyBorder="1"/>
    <xf numFmtId="44" fontId="9" fillId="0" borderId="4" xfId="0" applyNumberFormat="1" applyFont="1" applyBorder="1"/>
    <xf numFmtId="0" fontId="9" fillId="0" borderId="7" xfId="0" applyFont="1" applyBorder="1"/>
    <xf numFmtId="44" fontId="9" fillId="0" borderId="4" xfId="1" applyFont="1" applyBorder="1" applyAlignment="1">
      <alignment horizontal="left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7" fontId="8" fillId="0" borderId="3" xfId="0" applyNumberFormat="1" applyFont="1" applyBorder="1" applyAlignment="1">
      <alignment vertical="center" wrapText="1"/>
    </xf>
    <xf numFmtId="17" fontId="8" fillId="0" borderId="5" xfId="0" applyNumberFormat="1" applyFont="1" applyBorder="1" applyAlignment="1">
      <alignment vertical="center" wrapText="1"/>
    </xf>
    <xf numFmtId="0" fontId="9" fillId="6" borderId="0" xfId="0" applyFont="1" applyFill="1"/>
    <xf numFmtId="0" fontId="9" fillId="7" borderId="0" xfId="0" applyFont="1" applyFill="1"/>
    <xf numFmtId="0" fontId="0" fillId="0" borderId="2" xfId="0" applyBorder="1"/>
    <xf numFmtId="164" fontId="9" fillId="0" borderId="7" xfId="0" applyNumberFormat="1" applyFont="1" applyBorder="1"/>
    <xf numFmtId="0" fontId="9" fillId="7" borderId="4" xfId="0" applyFont="1" applyFill="1" applyBorder="1"/>
    <xf numFmtId="0" fontId="9" fillId="6" borderId="4" xfId="0" applyFont="1" applyFill="1" applyBorder="1"/>
    <xf numFmtId="0" fontId="8" fillId="0" borderId="3" xfId="0" applyFont="1" applyBorder="1" applyAlignment="1">
      <alignment horizontal="center"/>
    </xf>
    <xf numFmtId="44" fontId="9" fillId="6" borderId="4" xfId="1" applyFont="1" applyFill="1" applyBorder="1"/>
    <xf numFmtId="165" fontId="9" fillId="0" borderId="0" xfId="1" applyNumberFormat="1" applyFont="1" applyBorder="1" applyAlignment="1">
      <alignment horizontal="right" vertical="center" wrapText="1"/>
    </xf>
    <xf numFmtId="165" fontId="9" fillId="6" borderId="0" xfId="1" applyNumberFormat="1" applyFont="1" applyFill="1" applyBorder="1" applyAlignment="1">
      <alignment horizontal="right" vertical="center" wrapText="1"/>
    </xf>
    <xf numFmtId="165" fontId="9" fillId="4" borderId="4" xfId="1" applyNumberFormat="1" applyFont="1" applyFill="1" applyBorder="1" applyAlignment="1">
      <alignment horizontal="right" vertical="center" wrapText="1"/>
    </xf>
    <xf numFmtId="165" fontId="9" fillId="0" borderId="6" xfId="1" applyNumberFormat="1" applyFont="1" applyBorder="1" applyAlignment="1">
      <alignment horizontal="right" vertical="center" wrapText="1"/>
    </xf>
    <xf numFmtId="165" fontId="9" fillId="6" borderId="6" xfId="1" applyNumberFormat="1" applyFont="1" applyFill="1" applyBorder="1" applyAlignment="1">
      <alignment horizontal="right" vertical="center" wrapText="1"/>
    </xf>
    <xf numFmtId="165" fontId="9" fillId="4" borderId="7" xfId="1" applyNumberFormat="1" applyFont="1" applyFill="1" applyBorder="1" applyAlignment="1">
      <alignment horizontal="right" vertical="center" wrapText="1"/>
    </xf>
    <xf numFmtId="0" fontId="7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7" fontId="0" fillId="0" borderId="0" xfId="0" applyNumberFormat="1"/>
    <xf numFmtId="165" fontId="0" fillId="0" borderId="0" xfId="1" applyNumberFormat="1" applyFont="1" applyAlignment="1">
      <alignment horizontal="right" vertical="center" wrapText="1"/>
    </xf>
    <xf numFmtId="0" fontId="0" fillId="0" borderId="0" xfId="0" applyAlignment="1">
      <alignment horizontal="right"/>
    </xf>
    <xf numFmtId="165" fontId="0" fillId="0" borderId="0" xfId="1" applyNumberFormat="1" applyFont="1"/>
    <xf numFmtId="9" fontId="15" fillId="0" borderId="0" xfId="3" applyFont="1" applyAlignment="1">
      <alignment horizontal="right" vertical="center" wrapText="1"/>
    </xf>
    <xf numFmtId="165" fontId="0" fillId="0" borderId="0" xfId="0" applyNumberFormat="1"/>
    <xf numFmtId="0" fontId="0" fillId="0" borderId="11" xfId="0" applyBorder="1"/>
    <xf numFmtId="0" fontId="0" fillId="8" borderId="0" xfId="0" applyFill="1"/>
    <xf numFmtId="0" fontId="17" fillId="8" borderId="0" xfId="0" applyFont="1" applyFill="1" applyAlignment="1">
      <alignment horizontal="center"/>
    </xf>
    <xf numFmtId="9" fontId="16" fillId="8" borderId="0" xfId="0" applyNumberFormat="1" applyFont="1" applyFill="1" applyAlignment="1">
      <alignment horizontal="center"/>
    </xf>
    <xf numFmtId="0" fontId="14" fillId="8" borderId="0" xfId="0" applyFont="1" applyFill="1"/>
    <xf numFmtId="0" fontId="0" fillId="8" borderId="12" xfId="0" applyFill="1" applyBorder="1"/>
    <xf numFmtId="165" fontId="16" fillId="8" borderId="0" xfId="0" applyNumberFormat="1" applyFont="1" applyFill="1" applyAlignment="1">
      <alignment horizontal="center"/>
    </xf>
    <xf numFmtId="165" fontId="16" fillId="8" borderId="0" xfId="1" applyNumberFormat="1" applyFont="1" applyFill="1" applyBorder="1" applyAlignment="1">
      <alignment horizontal="center"/>
    </xf>
    <xf numFmtId="166" fontId="18" fillId="8" borderId="0" xfId="3" applyNumberFormat="1" applyFont="1" applyFill="1" applyBorder="1" applyAlignment="1">
      <alignment horizontal="center"/>
    </xf>
    <xf numFmtId="166" fontId="19" fillId="8" borderId="0" xfId="3" applyNumberFormat="1" applyFont="1" applyFill="1" applyBorder="1" applyAlignment="1">
      <alignment horizontal="center"/>
    </xf>
    <xf numFmtId="0" fontId="20" fillId="8" borderId="0" xfId="0" applyFont="1" applyFill="1"/>
    <xf numFmtId="0" fontId="18" fillId="8" borderId="0" xfId="0" applyFont="1" applyFill="1" applyAlignment="1">
      <alignment horizontal="center"/>
    </xf>
    <xf numFmtId="0" fontId="7" fillId="2" borderId="0" xfId="2" applyFont="1" applyFill="1"/>
    <xf numFmtId="0" fontId="13" fillId="2" borderId="0" xfId="2" applyFont="1" applyFill="1"/>
    <xf numFmtId="0" fontId="21" fillId="2" borderId="0" xfId="0" applyFont="1" applyFill="1" applyAlignment="1">
      <alignment horizontal="center" vertical="top" wrapText="1"/>
    </xf>
    <xf numFmtId="0" fontId="0" fillId="2" borderId="0" xfId="0" applyFill="1"/>
    <xf numFmtId="0" fontId="0" fillId="0" borderId="13" xfId="0" applyBorder="1"/>
    <xf numFmtId="0" fontId="24" fillId="0" borderId="0" xfId="0" applyFont="1" applyAlignment="1">
      <alignment vertical="top"/>
    </xf>
    <xf numFmtId="0" fontId="24" fillId="0" borderId="14" xfId="0" applyFont="1" applyBorder="1" applyAlignment="1">
      <alignment vertical="top"/>
    </xf>
    <xf numFmtId="0" fontId="22" fillId="8" borderId="0" xfId="0" applyFont="1" applyFill="1"/>
    <xf numFmtId="0" fontId="22" fillId="8" borderId="0" xfId="0" applyFont="1" applyFill="1" applyAlignment="1">
      <alignment vertical="center"/>
    </xf>
    <xf numFmtId="0" fontId="22" fillId="8" borderId="0" xfId="0" applyFont="1" applyFill="1" applyAlignment="1">
      <alignment horizontal="left"/>
    </xf>
    <xf numFmtId="0" fontId="8" fillId="8" borderId="0" xfId="0" applyFont="1" applyFill="1"/>
    <xf numFmtId="0" fontId="0" fillId="3" borderId="0" xfId="0" applyFill="1"/>
    <xf numFmtId="0" fontId="26" fillId="2" borderId="0" xfId="0" applyFont="1" applyFill="1"/>
    <xf numFmtId="0" fontId="27" fillId="2" borderId="0" xfId="0" applyFont="1" applyFill="1"/>
    <xf numFmtId="0" fontId="27" fillId="3" borderId="0" xfId="0" applyFont="1" applyFill="1"/>
    <xf numFmtId="0" fontId="22" fillId="3" borderId="0" xfId="0" applyFont="1" applyFill="1"/>
    <xf numFmtId="0" fontId="24" fillId="3" borderId="0" xfId="0" applyFont="1" applyFill="1"/>
    <xf numFmtId="0" fontId="0" fillId="9" borderId="0" xfId="0" applyFill="1"/>
    <xf numFmtId="0" fontId="25" fillId="9" borderId="0" xfId="2" applyFont="1" applyFill="1"/>
    <xf numFmtId="0" fontId="28" fillId="9" borderId="0" xfId="0" applyFont="1" applyFill="1"/>
    <xf numFmtId="0" fontId="29" fillId="9" borderId="12" xfId="0" applyFont="1" applyFill="1" applyBorder="1"/>
    <xf numFmtId="0" fontId="0" fillId="9" borderId="12" xfId="0" applyFill="1" applyBorder="1"/>
    <xf numFmtId="0" fontId="17" fillId="9" borderId="12" xfId="0" applyFont="1" applyFill="1" applyBorder="1"/>
    <xf numFmtId="0" fontId="23" fillId="0" borderId="0" xfId="0" applyFont="1" applyAlignment="1">
      <alignment horizontal="center" vertical="top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7" fillId="2" borderId="0" xfId="0" applyFont="1" applyFill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1" fillId="3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/>
    <xf numFmtId="0" fontId="8" fillId="0" borderId="0" xfId="0" applyFont="1"/>
    <xf numFmtId="0" fontId="8" fillId="4" borderId="3" xfId="0" applyFont="1" applyFill="1" applyBorder="1"/>
    <xf numFmtId="0" fontId="8" fillId="4" borderId="0" xfId="0" applyFont="1" applyFill="1"/>
    <xf numFmtId="0" fontId="8" fillId="0" borderId="5" xfId="0" applyFont="1" applyBorder="1"/>
    <xf numFmtId="0" fontId="8" fillId="0" borderId="6" xfId="0" applyFont="1" applyBorder="1"/>
    <xf numFmtId="0" fontId="8" fillId="4" borderId="5" xfId="0" applyFont="1" applyFill="1" applyBorder="1"/>
    <xf numFmtId="0" fontId="8" fillId="4" borderId="6" xfId="0" applyFont="1" applyFill="1" applyBorder="1"/>
    <xf numFmtId="166" fontId="9" fillId="0" borderId="4" xfId="3" applyNumberFormat="1" applyFont="1" applyBorder="1"/>
    <xf numFmtId="0" fontId="7" fillId="10" borderId="15" xfId="0" applyFont="1" applyFill="1" applyBorder="1" applyAlignment="1">
      <alignment horizontal="center" vertical="center" wrapText="1"/>
    </xf>
    <xf numFmtId="0" fontId="0" fillId="11" borderId="15" xfId="0" applyFont="1" applyFill="1" applyBorder="1" applyAlignment="1">
      <alignment vertical="center" wrapText="1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2" tint="-9.9948118533890809E-2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alignment horizontal="left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2" formatCode="mmm/yy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000080"/>
      <color rgb="FFFFFFFF"/>
      <color rgb="FFFDB3A9"/>
      <color rgb="FFFC9F92"/>
      <color rgb="FF9CA3AF"/>
      <color rgb="FFE2E8F0"/>
      <color rgb="FFADD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0" baseline="0">
                <a:solidFill>
                  <a:srgbClr val="00008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80"/>
                </a:solidFill>
              </a:rPr>
              <a:t>Monthly Financial Performance</a:t>
            </a:r>
            <a:endParaRPr lang="en-US" b="1">
              <a:solidFill>
                <a:srgbClr val="000080"/>
              </a:solidFill>
            </a:endParaRPr>
          </a:p>
        </c:rich>
      </c:tx>
      <c:layout>
        <c:manualLayout>
          <c:xMode val="edge"/>
          <c:yMode val="edge"/>
          <c:x val="5.23748906386701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spc="0" baseline="0">
              <a:solidFill>
                <a:srgbClr val="0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Dashboard!$AB$16</c:f>
              <c:strCache>
                <c:ptCount val="1"/>
                <c:pt idx="0">
                  <c:v>Rent Collected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Dashboard!$AA$17:$AA$19</c:f>
              <c:numCache>
                <c:formatCode>mmm\-yy</c:formatCode>
                <c:ptCount val="3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</c:numCache>
            </c:numRef>
          </c:cat>
          <c:val>
            <c:numRef>
              <c:f>Dashboard!$AB$17:$AB$19</c:f>
              <c:numCache>
                <c:formatCode>_("$"* #,##0_);_("$"* \(#,##0\);_("$"* "-"??_);_(@_)</c:formatCode>
                <c:ptCount val="3"/>
                <c:pt idx="0" formatCode="General">
                  <c:v>#N/A</c:v>
                </c:pt>
                <c:pt idx="1">
                  <c:v>29200</c:v>
                </c:pt>
                <c:pt idx="2">
                  <c:v>31450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6-4E26-A081-FBC24D124602}"/>
            </c:ext>
          </c:extLst>
        </c:ser>
        <c:ser>
          <c:idx val="1"/>
          <c:order val="1"/>
          <c:tx>
            <c:strRef>
              <c:f>Dashboard!$AC$16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Dashboard!$AA$17:$AA$19</c:f>
              <c:numCache>
                <c:formatCode>mmm\-yy</c:formatCode>
                <c:ptCount val="3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</c:numCache>
            </c:numRef>
          </c:cat>
          <c:val>
            <c:numRef>
              <c:f>Dashboard!$AC$17:$AC$19</c:f>
              <c:numCache>
                <c:formatCode>_("$"* #,##0_);_("$"* \(#,##0\);_("$"* "-"??_);_(@_)</c:formatCode>
                <c:ptCount val="3"/>
                <c:pt idx="0">
                  <c:v>6380</c:v>
                </c:pt>
                <c:pt idx="1">
                  <c:v>6690</c:v>
                </c:pt>
                <c:pt idx="2">
                  <c:v>11060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6-4E26-A081-FBC24D124602}"/>
            </c:ext>
          </c:extLst>
        </c:ser>
        <c:ser>
          <c:idx val="2"/>
          <c:order val="2"/>
          <c:tx>
            <c:strRef>
              <c:f>Dashboard!$AD$16</c:f>
              <c:strCache>
                <c:ptCount val="1"/>
                <c:pt idx="0">
                  <c:v>Net Result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Dashboard!$AA$17:$AA$19</c:f>
              <c:numCache>
                <c:formatCode>mmm\-yy</c:formatCode>
                <c:ptCount val="3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</c:numCache>
            </c:numRef>
          </c:cat>
          <c:val>
            <c:numRef>
              <c:f>Dashboard!$AD$17:$AD$19</c:f>
              <c:numCache>
                <c:formatCode>_("$"* #,##0_);_("$"* \(#,##0\);_("$"* "-"??_);_(@_)</c:formatCode>
                <c:ptCount val="3"/>
                <c:pt idx="0" formatCode="General">
                  <c:v>#N/A</c:v>
                </c:pt>
                <c:pt idx="1">
                  <c:v>22510</c:v>
                </c:pt>
                <c:pt idx="2">
                  <c:v>20390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06-4E26-A081-FBC24D12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931472"/>
        <c:axId val="1063177360"/>
      </c:barChart>
      <c:dateAx>
        <c:axId val="3879314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77360"/>
        <c:crosses val="autoZero"/>
        <c:auto val="1"/>
        <c:lblOffset val="100"/>
        <c:baseTimeUnit val="months"/>
      </c:dateAx>
      <c:valAx>
        <c:axId val="10631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93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8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80"/>
                </a:solidFill>
              </a:rPr>
              <a:t>Building Performance</a:t>
            </a:r>
            <a:endParaRPr lang="en-US" b="1">
              <a:solidFill>
                <a:srgbClr val="000080"/>
              </a:solidFill>
            </a:endParaRPr>
          </a:p>
        </c:rich>
      </c:tx>
      <c:layout>
        <c:manualLayout>
          <c:xMode val="edge"/>
          <c:yMode val="edge"/>
          <c:x val="7.1402668416447948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Dashboard!$AB$13</c:f>
              <c:strCache>
                <c:ptCount val="1"/>
                <c:pt idx="0">
                  <c:v>Occupied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D68D268-8CA0-4F68-8BB7-29D2FF201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CDE-4B50-93B7-7BFCB4748F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D03FD1-6249-43A3-A3A5-08AAFF7F3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CDE-4B50-93B7-7BFCB4748F4D}"/>
                </c:ext>
              </c:extLst>
            </c:dLbl>
            <c:numFmt formatCode="General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Dashboard!$AA$14:$AA$15</c:f>
              <c:strCache>
                <c:ptCount val="2"/>
                <c:pt idx="0">
                  <c:v>Building A</c:v>
                </c:pt>
                <c:pt idx="1">
                  <c:v>Building B</c:v>
                </c:pt>
              </c:strCache>
            </c:strRef>
          </c:cat>
          <c:val>
            <c:numRef>
              <c:f>Dashboard!$AB$14:$AB$15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Dashboard!$AE$14:$AE$15</c15:f>
                <c15:dlblRangeCache>
                  <c:ptCount val="2"/>
                  <c:pt idx="0">
                    <c:v>67%</c:v>
                  </c:pt>
                  <c:pt idx="1">
                    <c:v>86%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CDE-4B50-93B7-7BFCB4748F4D}"/>
            </c:ext>
          </c:extLst>
        </c:ser>
        <c:ser>
          <c:idx val="1"/>
          <c:order val="1"/>
          <c:tx>
            <c:strRef>
              <c:f>Dashboard!$AC$13</c:f>
              <c:strCache>
                <c:ptCount val="1"/>
                <c:pt idx="0">
                  <c:v>Vacant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A2F5151-081D-4766-A788-0728D1C7DE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CDE-4B50-93B7-7BFCB4748F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B92CF2-6201-452D-BD5E-587DF1530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CDE-4B50-93B7-7BFCB4748F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Dashboard!$AA$14:$AA$15</c:f>
              <c:strCache>
                <c:ptCount val="2"/>
                <c:pt idx="0">
                  <c:v>Building A</c:v>
                </c:pt>
                <c:pt idx="1">
                  <c:v>Building B</c:v>
                </c:pt>
              </c:strCache>
            </c:strRef>
          </c:cat>
          <c:val>
            <c:numRef>
              <c:f>Dashboard!$AC$14:$AC$15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Dashboard!$AF$14:$AF$15</c15:f>
                <c15:dlblRangeCache>
                  <c:ptCount val="2"/>
                  <c:pt idx="0">
                    <c:v>33%</c:v>
                  </c:pt>
                  <c:pt idx="1">
                    <c:v>14%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CDE-4B50-93B7-7BFCB4748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2780640"/>
        <c:axId val="1063211920"/>
      </c:barChart>
      <c:catAx>
        <c:axId val="1182780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11920"/>
        <c:crosses val="autoZero"/>
        <c:auto val="1"/>
        <c:lblAlgn val="ctr"/>
        <c:lblOffset val="100"/>
        <c:noMultiLvlLbl val="0"/>
      </c:catAx>
      <c:valAx>
        <c:axId val="10632119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8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8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80"/>
                </a:solidFill>
              </a:rPr>
              <a:t>Expense Breakdown</a:t>
            </a:r>
            <a:endParaRPr lang="en-US" b="1">
              <a:solidFill>
                <a:srgbClr val="000080"/>
              </a:solidFill>
            </a:endParaRPr>
          </a:p>
        </c:rich>
      </c:tx>
      <c:layout>
        <c:manualLayout>
          <c:xMode val="edge"/>
          <c:yMode val="edge"/>
          <c:x val="5.073600174978127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0-4162-89F7-1B2CAE75D4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30-4162-89F7-1B2CAE75D4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30-4162-89F7-1B2CAE75D4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30-4162-89F7-1B2CAE75D4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30-4162-89F7-1B2CAE75D4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Dashboard!$AA$3:$AA$7</c:f>
              <c:strCache>
                <c:ptCount val="5"/>
                <c:pt idx="0">
                  <c:v>Other</c:v>
                </c:pt>
                <c:pt idx="1">
                  <c:v>Utilities</c:v>
                </c:pt>
                <c:pt idx="2">
                  <c:v>Cleaning</c:v>
                </c:pt>
                <c:pt idx="3">
                  <c:v>Security</c:v>
                </c:pt>
                <c:pt idx="4">
                  <c:v>Insurance</c:v>
                </c:pt>
              </c:strCache>
            </c:strRef>
          </c:cat>
          <c:val>
            <c:numRef>
              <c:f>Dashboard!$AB$3:$AB$7</c:f>
              <c:numCache>
                <c:formatCode>_("$"* #,##0_);_("$"* \(#,##0\);_("$"* "-"??_);_(@_)</c:formatCode>
                <c:ptCount val="5"/>
                <c:pt idx="0">
                  <c:v>3655</c:v>
                </c:pt>
                <c:pt idx="1">
                  <c:v>7710</c:v>
                </c:pt>
                <c:pt idx="2">
                  <c:v>2610</c:v>
                </c:pt>
                <c:pt idx="3">
                  <c:v>4500</c:v>
                </c:pt>
                <c:pt idx="4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1-4BD8-8CA7-A0DE5CD7A4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8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80"/>
                </a:solidFill>
              </a:rPr>
              <a:t>Maintenance Status</a:t>
            </a:r>
            <a:endParaRPr lang="en-US" b="1">
              <a:solidFill>
                <a:srgbClr val="000080"/>
              </a:solidFill>
            </a:endParaRPr>
          </a:p>
        </c:rich>
      </c:tx>
      <c:layout>
        <c:manualLayout>
          <c:xMode val="edge"/>
          <c:yMode val="edge"/>
          <c:x val="7.6305555555555543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850024423649761"/>
          <c:y val="0.15061076522468694"/>
          <c:w val="0.64263690812557273"/>
          <c:h val="0.75551325765327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Dashboard!$AE$2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90-452C-B138-AAFD5062FD1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90-452C-B138-AAFD5062FD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Dashboard!$AD$3:$AD$5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Pending</c:v>
                </c:pt>
              </c:strCache>
            </c:strRef>
          </c:cat>
          <c:val>
            <c:numRef>
              <c:f>Dashboard!$AE$3:$AE$5</c:f>
              <c:numCache>
                <c:formatCode>General</c:formatCode>
                <c:ptCount val="3"/>
                <c:pt idx="0">
                  <c:v>12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0-452C-B138-AAFD5062FD1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50177888"/>
        <c:axId val="1063107760"/>
      </c:barChart>
      <c:catAx>
        <c:axId val="105017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07760"/>
        <c:crosses val="autoZero"/>
        <c:auto val="1"/>
        <c:lblAlgn val="ctr"/>
        <c:lblOffset val="100"/>
        <c:noMultiLvlLbl val="0"/>
      </c:catAx>
      <c:valAx>
        <c:axId val="106310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7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svg"/><Relationship Id="rId13" Type="http://schemas.openxmlformats.org/officeDocument/2006/relationships/image" Target="../media/image23.png"/><Relationship Id="rId18" Type="http://schemas.openxmlformats.org/officeDocument/2006/relationships/image" Target="../media/image28.svg"/><Relationship Id="rId26" Type="http://schemas.openxmlformats.org/officeDocument/2006/relationships/image" Target="../media/image36.svg"/><Relationship Id="rId3" Type="http://schemas.openxmlformats.org/officeDocument/2006/relationships/chart" Target="../charts/chart3.xml"/><Relationship Id="rId21" Type="http://schemas.openxmlformats.org/officeDocument/2006/relationships/image" Target="../media/image31.png"/><Relationship Id="rId7" Type="http://schemas.openxmlformats.org/officeDocument/2006/relationships/image" Target="../media/image17.png"/><Relationship Id="rId12" Type="http://schemas.openxmlformats.org/officeDocument/2006/relationships/image" Target="../media/image22.svg"/><Relationship Id="rId17" Type="http://schemas.openxmlformats.org/officeDocument/2006/relationships/image" Target="../media/image27.png"/><Relationship Id="rId25" Type="http://schemas.openxmlformats.org/officeDocument/2006/relationships/image" Target="../media/image35.png"/><Relationship Id="rId2" Type="http://schemas.openxmlformats.org/officeDocument/2006/relationships/chart" Target="../charts/chart2.xml"/><Relationship Id="rId16" Type="http://schemas.openxmlformats.org/officeDocument/2006/relationships/image" Target="../media/image26.svg"/><Relationship Id="rId20" Type="http://schemas.openxmlformats.org/officeDocument/2006/relationships/image" Target="../media/image30.svg"/><Relationship Id="rId29" Type="http://schemas.openxmlformats.org/officeDocument/2006/relationships/image" Target="../media/image39.png"/><Relationship Id="rId1" Type="http://schemas.openxmlformats.org/officeDocument/2006/relationships/chart" Target="../charts/chart1.xml"/><Relationship Id="rId6" Type="http://schemas.openxmlformats.org/officeDocument/2006/relationships/image" Target="../media/image16.svg"/><Relationship Id="rId11" Type="http://schemas.openxmlformats.org/officeDocument/2006/relationships/image" Target="../media/image21.png"/><Relationship Id="rId24" Type="http://schemas.openxmlformats.org/officeDocument/2006/relationships/image" Target="../media/image34.svg"/><Relationship Id="rId32" Type="http://schemas.openxmlformats.org/officeDocument/2006/relationships/image" Target="../media/image42.svg"/><Relationship Id="rId5" Type="http://schemas.openxmlformats.org/officeDocument/2006/relationships/image" Target="../media/image15.png"/><Relationship Id="rId15" Type="http://schemas.openxmlformats.org/officeDocument/2006/relationships/image" Target="../media/image25.png"/><Relationship Id="rId23" Type="http://schemas.openxmlformats.org/officeDocument/2006/relationships/image" Target="../media/image33.png"/><Relationship Id="rId28" Type="http://schemas.openxmlformats.org/officeDocument/2006/relationships/image" Target="../media/image38.svg"/><Relationship Id="rId10" Type="http://schemas.openxmlformats.org/officeDocument/2006/relationships/image" Target="../media/image20.svg"/><Relationship Id="rId19" Type="http://schemas.openxmlformats.org/officeDocument/2006/relationships/image" Target="../media/image29.png"/><Relationship Id="rId31" Type="http://schemas.openxmlformats.org/officeDocument/2006/relationships/image" Target="../media/image41.png"/><Relationship Id="rId4" Type="http://schemas.openxmlformats.org/officeDocument/2006/relationships/chart" Target="../charts/chart4.xml"/><Relationship Id="rId9" Type="http://schemas.openxmlformats.org/officeDocument/2006/relationships/image" Target="../media/image19.png"/><Relationship Id="rId14" Type="http://schemas.openxmlformats.org/officeDocument/2006/relationships/image" Target="../media/image24.svg"/><Relationship Id="rId22" Type="http://schemas.openxmlformats.org/officeDocument/2006/relationships/image" Target="../media/image32.svg"/><Relationship Id="rId27" Type="http://schemas.openxmlformats.org/officeDocument/2006/relationships/image" Target="../media/image37.png"/><Relationship Id="rId30" Type="http://schemas.openxmlformats.org/officeDocument/2006/relationships/image" Target="../media/image4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161863</xdr:rowOff>
    </xdr:from>
    <xdr:to>
      <xdr:col>0</xdr:col>
      <xdr:colOff>597647</xdr:colOff>
      <xdr:row>9</xdr:row>
      <xdr:rowOff>149412</xdr:rowOff>
    </xdr:to>
    <xdr:pic>
      <xdr:nvPicPr>
        <xdr:cNvPr id="3" name="Graphic 2" descr="Gauge with solid fill">
          <a:extLst>
            <a:ext uri="{FF2B5EF4-FFF2-40B4-BE49-F238E27FC236}">
              <a16:creationId xmlns:a16="http://schemas.microsoft.com/office/drawing/2014/main" id="{75FAD399-7BFD-F834-D41B-77CB9484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730687"/>
          <a:ext cx="597647" cy="597647"/>
        </a:xfrm>
        <a:prstGeom prst="rect">
          <a:avLst/>
        </a:prstGeom>
      </xdr:spPr>
    </xdr:pic>
    <xdr:clientData/>
  </xdr:twoCellAnchor>
  <xdr:twoCellAnchor editAs="oneCell">
    <xdr:from>
      <xdr:col>12</xdr:col>
      <xdr:colOff>56028</xdr:colOff>
      <xdr:row>7</xdr:row>
      <xdr:rowOff>12449</xdr:rowOff>
    </xdr:from>
    <xdr:to>
      <xdr:col>13</xdr:col>
      <xdr:colOff>40289</xdr:colOff>
      <xdr:row>9</xdr:row>
      <xdr:rowOff>183475</xdr:rowOff>
    </xdr:to>
    <xdr:pic>
      <xdr:nvPicPr>
        <xdr:cNvPr id="5" name="Graphic 4" descr="Building with solid fill">
          <a:extLst>
            <a:ext uri="{FF2B5EF4-FFF2-40B4-BE49-F238E27FC236}">
              <a16:creationId xmlns:a16="http://schemas.microsoft.com/office/drawing/2014/main" id="{A379EAB2-A54A-3658-176C-9E9510228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377204" y="1768037"/>
          <a:ext cx="594360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124510</xdr:rowOff>
    </xdr:from>
    <xdr:to>
      <xdr:col>0</xdr:col>
      <xdr:colOff>594360</xdr:colOff>
      <xdr:row>13</xdr:row>
      <xdr:rowOff>102547</xdr:rowOff>
    </xdr:to>
    <xdr:pic>
      <xdr:nvPicPr>
        <xdr:cNvPr id="7" name="Graphic 6" descr="Users with solid fill">
          <a:extLst>
            <a:ext uri="{FF2B5EF4-FFF2-40B4-BE49-F238E27FC236}">
              <a16:creationId xmlns:a16="http://schemas.microsoft.com/office/drawing/2014/main" id="{EF2CD0D0-8B4D-0E45-9A29-92D34FFE8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0" y="2496422"/>
          <a:ext cx="594360" cy="594360"/>
        </a:xfrm>
        <a:prstGeom prst="rect">
          <a:avLst/>
        </a:prstGeom>
      </xdr:spPr>
    </xdr:pic>
    <xdr:clientData/>
  </xdr:twoCellAnchor>
  <xdr:twoCellAnchor editAs="oneCell">
    <xdr:from>
      <xdr:col>12</xdr:col>
      <xdr:colOff>6225</xdr:colOff>
      <xdr:row>10</xdr:row>
      <xdr:rowOff>180539</xdr:rowOff>
    </xdr:from>
    <xdr:to>
      <xdr:col>12</xdr:col>
      <xdr:colOff>600585</xdr:colOff>
      <xdr:row>13</xdr:row>
      <xdr:rowOff>158576</xdr:rowOff>
    </xdr:to>
    <xdr:pic>
      <xdr:nvPicPr>
        <xdr:cNvPr id="9" name="Graphic 8" descr="Money with solid fill">
          <a:extLst>
            <a:ext uri="{FF2B5EF4-FFF2-40B4-BE49-F238E27FC236}">
              <a16:creationId xmlns:a16="http://schemas.microsoft.com/office/drawing/2014/main" id="{77639BF3-038E-CDFF-F9D1-9CB19831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>
          <a:off x="7327401" y="2552451"/>
          <a:ext cx="594360" cy="594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18676</xdr:rowOff>
    </xdr:from>
    <xdr:to>
      <xdr:col>0</xdr:col>
      <xdr:colOff>594360</xdr:colOff>
      <xdr:row>17</xdr:row>
      <xdr:rowOff>189703</xdr:rowOff>
    </xdr:to>
    <xdr:pic>
      <xdr:nvPicPr>
        <xdr:cNvPr id="11" name="Graphic 10" descr="Tools with solid fill">
          <a:extLst>
            <a:ext uri="{FF2B5EF4-FFF2-40B4-BE49-F238E27FC236}">
              <a16:creationId xmlns:a16="http://schemas.microsoft.com/office/drawing/2014/main" id="{6E7E7F4E-E4E5-5E6E-493E-B9619D377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0" y="3392892"/>
          <a:ext cx="594360" cy="594360"/>
        </a:xfrm>
        <a:prstGeom prst="rect">
          <a:avLst/>
        </a:prstGeom>
      </xdr:spPr>
    </xdr:pic>
    <xdr:clientData/>
  </xdr:twoCellAnchor>
  <xdr:twoCellAnchor editAs="oneCell">
    <xdr:from>
      <xdr:col>12</xdr:col>
      <xdr:colOff>68480</xdr:colOff>
      <xdr:row>15</xdr:row>
      <xdr:rowOff>18676</xdr:rowOff>
    </xdr:from>
    <xdr:to>
      <xdr:col>13</xdr:col>
      <xdr:colOff>52741</xdr:colOff>
      <xdr:row>17</xdr:row>
      <xdr:rowOff>189703</xdr:rowOff>
    </xdr:to>
    <xdr:pic>
      <xdr:nvPicPr>
        <xdr:cNvPr id="13" name="Graphic 12" descr="Checklist with solid fill">
          <a:extLst>
            <a:ext uri="{FF2B5EF4-FFF2-40B4-BE49-F238E27FC236}">
              <a16:creationId xmlns:a16="http://schemas.microsoft.com/office/drawing/2014/main" id="{8ADBE481-D6D6-49C9-EBBF-25676AEFE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389656" y="3392892"/>
          <a:ext cx="594360" cy="594360"/>
        </a:xfrm>
        <a:prstGeom prst="rect">
          <a:avLst/>
        </a:prstGeom>
      </xdr:spPr>
    </xdr:pic>
    <xdr:clientData/>
  </xdr:twoCellAnchor>
  <xdr:twoCellAnchor editAs="oneCell">
    <xdr:from>
      <xdr:col>6</xdr:col>
      <xdr:colOff>18677</xdr:colOff>
      <xdr:row>18</xdr:row>
      <xdr:rowOff>186765</xdr:rowOff>
    </xdr:from>
    <xdr:to>
      <xdr:col>7</xdr:col>
      <xdr:colOff>2939</xdr:colOff>
      <xdr:row>21</xdr:row>
      <xdr:rowOff>164801</xdr:rowOff>
    </xdr:to>
    <xdr:pic>
      <xdr:nvPicPr>
        <xdr:cNvPr id="15" name="Graphic 14" descr="Bar chart with solid fill">
          <a:extLst>
            <a:ext uri="{FF2B5EF4-FFF2-40B4-BE49-F238E27FC236}">
              <a16:creationId xmlns:a16="http://schemas.microsoft.com/office/drawing/2014/main" id="{624B1687-BBA2-F02E-BD9A-9B05D23CA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679265" y="4177304"/>
          <a:ext cx="594360" cy="594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4761</xdr:colOff>
      <xdr:row>8</xdr:row>
      <xdr:rowOff>39422</xdr:rowOff>
    </xdr:from>
    <xdr:to>
      <xdr:col>8</xdr:col>
      <xdr:colOff>343959</xdr:colOff>
      <xdr:row>23</xdr:row>
      <xdr:rowOff>5291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5D124-BD51-76C0-64E4-1C0EA8BF1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463136</xdr:colOff>
      <xdr:row>8</xdr:row>
      <xdr:rowOff>23947</xdr:rowOff>
    </xdr:from>
    <xdr:to>
      <xdr:col>17</xdr:col>
      <xdr:colOff>70556</xdr:colOff>
      <xdr:row>23</xdr:row>
      <xdr:rowOff>21270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AA16BD-C051-3E1C-D7F8-8CEA16BFE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115</xdr:colOff>
      <xdr:row>23</xdr:row>
      <xdr:rowOff>173567</xdr:rowOff>
    </xdr:from>
    <xdr:to>
      <xdr:col>7</xdr:col>
      <xdr:colOff>131032</xdr:colOff>
      <xdr:row>40</xdr:row>
      <xdr:rowOff>57727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D31C7B-3C18-D27E-DF9F-9D7FCA7F1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342698</xdr:colOff>
      <xdr:row>23</xdr:row>
      <xdr:rowOff>167213</xdr:rowOff>
    </xdr:from>
    <xdr:to>
      <xdr:col>11</xdr:col>
      <xdr:colOff>897063</xdr:colOff>
      <xdr:row>40</xdr:row>
      <xdr:rowOff>89527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036AC0-415A-8111-4965-2F2183BCE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49480</xdr:colOff>
      <xdr:row>2</xdr:row>
      <xdr:rowOff>37111</xdr:rowOff>
    </xdr:from>
    <xdr:to>
      <xdr:col>0</xdr:col>
      <xdr:colOff>263885</xdr:colOff>
      <xdr:row>2</xdr:row>
      <xdr:rowOff>251525</xdr:rowOff>
    </xdr:to>
    <xdr:pic>
      <xdr:nvPicPr>
        <xdr:cNvPr id="7" name="Graphic 6" descr="Work from home Wi-Fi with solid fill">
          <a:extLst>
            <a:ext uri="{FF2B5EF4-FFF2-40B4-BE49-F238E27FC236}">
              <a16:creationId xmlns:a16="http://schemas.microsoft.com/office/drawing/2014/main" id="{8EF187FA-2BE7-550D-8CF6-91DB88CE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9480" y="700975"/>
          <a:ext cx="214405" cy="214414"/>
        </a:xfrm>
        <a:prstGeom prst="rect">
          <a:avLst/>
        </a:prstGeom>
      </xdr:spPr>
    </xdr:pic>
    <xdr:clientData/>
  </xdr:twoCellAnchor>
  <xdr:twoCellAnchor editAs="oneCell">
    <xdr:from>
      <xdr:col>0</xdr:col>
      <xdr:colOff>58256</xdr:colOff>
      <xdr:row>4</xdr:row>
      <xdr:rowOff>96125</xdr:rowOff>
    </xdr:from>
    <xdr:to>
      <xdr:col>0</xdr:col>
      <xdr:colOff>250504</xdr:colOff>
      <xdr:row>4</xdr:row>
      <xdr:rowOff>289041</xdr:rowOff>
    </xdr:to>
    <xdr:pic>
      <xdr:nvPicPr>
        <xdr:cNvPr id="9" name="Graphic 8" descr="Bar chart with solid fill">
          <a:extLst>
            <a:ext uri="{FF2B5EF4-FFF2-40B4-BE49-F238E27FC236}">
              <a16:creationId xmlns:a16="http://schemas.microsoft.com/office/drawing/2014/main" id="{B5C57E12-C976-D24E-479F-AB183BE05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8256" y="1031148"/>
          <a:ext cx="192248" cy="192916"/>
        </a:xfrm>
        <a:prstGeom prst="rect">
          <a:avLst/>
        </a:prstGeom>
      </xdr:spPr>
    </xdr:pic>
    <xdr:clientData/>
  </xdr:twoCellAnchor>
  <xdr:twoCellAnchor editAs="oneCell">
    <xdr:from>
      <xdr:col>0</xdr:col>
      <xdr:colOff>24080</xdr:colOff>
      <xdr:row>5</xdr:row>
      <xdr:rowOff>261272</xdr:rowOff>
    </xdr:from>
    <xdr:to>
      <xdr:col>0</xdr:col>
      <xdr:colOff>247035</xdr:colOff>
      <xdr:row>7</xdr:row>
      <xdr:rowOff>15857</xdr:rowOff>
    </xdr:to>
    <xdr:pic>
      <xdr:nvPicPr>
        <xdr:cNvPr id="8" name="Graphic 7" descr="Building with solid fill">
          <a:extLst>
            <a:ext uri="{FF2B5EF4-FFF2-40B4-BE49-F238E27FC236}">
              <a16:creationId xmlns:a16="http://schemas.microsoft.com/office/drawing/2014/main" id="{B11B96DD-BF42-D2D4-06E2-8BD13CB0D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4080" y="1830277"/>
          <a:ext cx="222955" cy="223684"/>
        </a:xfrm>
        <a:prstGeom prst="rect">
          <a:avLst/>
        </a:prstGeom>
      </xdr:spPr>
    </xdr:pic>
    <xdr:clientData/>
  </xdr:twoCellAnchor>
  <xdr:twoCellAnchor editAs="oneCell">
    <xdr:from>
      <xdr:col>0</xdr:col>
      <xdr:colOff>21577</xdr:colOff>
      <xdr:row>11</xdr:row>
      <xdr:rowOff>184953</xdr:rowOff>
    </xdr:from>
    <xdr:to>
      <xdr:col>0</xdr:col>
      <xdr:colOff>243520</xdr:colOff>
      <xdr:row>13</xdr:row>
      <xdr:rowOff>3</xdr:rowOff>
    </xdr:to>
    <xdr:pic>
      <xdr:nvPicPr>
        <xdr:cNvPr id="17" name="Graphic 16" descr="Tools with solid fill">
          <a:extLst>
            <a:ext uri="{FF2B5EF4-FFF2-40B4-BE49-F238E27FC236}">
              <a16:creationId xmlns:a16="http://schemas.microsoft.com/office/drawing/2014/main" id="{815618E5-CC36-E312-E312-E87B66149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1577" y="2885244"/>
          <a:ext cx="221943" cy="221943"/>
        </a:xfrm>
        <a:prstGeom prst="rect">
          <a:avLst/>
        </a:prstGeom>
      </xdr:spPr>
    </xdr:pic>
    <xdr:clientData/>
  </xdr:twoCellAnchor>
  <xdr:twoCellAnchor editAs="oneCell">
    <xdr:from>
      <xdr:col>0</xdr:col>
      <xdr:colOff>15413</xdr:colOff>
      <xdr:row>7</xdr:row>
      <xdr:rowOff>197282</xdr:rowOff>
    </xdr:from>
    <xdr:to>
      <xdr:col>0</xdr:col>
      <xdr:colOff>240437</xdr:colOff>
      <xdr:row>9</xdr:row>
      <xdr:rowOff>23056</xdr:rowOff>
    </xdr:to>
    <xdr:pic>
      <xdr:nvPicPr>
        <xdr:cNvPr id="19" name="Graphic 18" descr="Group with solid fill">
          <a:extLst>
            <a:ext uri="{FF2B5EF4-FFF2-40B4-BE49-F238E27FC236}">
              <a16:creationId xmlns:a16="http://schemas.microsoft.com/office/drawing/2014/main" id="{8306DA7C-3B53-3D89-E25A-12EF7F6CA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413" y="2077622"/>
          <a:ext cx="225024" cy="225024"/>
        </a:xfrm>
        <a:prstGeom prst="rect">
          <a:avLst/>
        </a:prstGeom>
      </xdr:spPr>
    </xdr:pic>
    <xdr:clientData/>
  </xdr:twoCellAnchor>
  <xdr:twoCellAnchor editAs="oneCell">
    <xdr:from>
      <xdr:col>0</xdr:col>
      <xdr:colOff>30826</xdr:colOff>
      <xdr:row>9</xdr:row>
      <xdr:rowOff>172622</xdr:rowOff>
    </xdr:from>
    <xdr:to>
      <xdr:col>0</xdr:col>
      <xdr:colOff>258933</xdr:colOff>
      <xdr:row>10</xdr:row>
      <xdr:rowOff>197282</xdr:rowOff>
    </xdr:to>
    <xdr:pic>
      <xdr:nvPicPr>
        <xdr:cNvPr id="21" name="Graphic 20" descr="Money with solid fill">
          <a:extLst>
            <a:ext uri="{FF2B5EF4-FFF2-40B4-BE49-F238E27FC236}">
              <a16:creationId xmlns:a16="http://schemas.microsoft.com/office/drawing/2014/main" id="{23C30994-1A71-532B-78BE-160B8E5BE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0826" y="2466020"/>
          <a:ext cx="228107" cy="228107"/>
        </a:xfrm>
        <a:prstGeom prst="rect">
          <a:avLst/>
        </a:prstGeom>
      </xdr:spPr>
    </xdr:pic>
    <xdr:clientData/>
  </xdr:twoCellAnchor>
  <xdr:twoCellAnchor editAs="oneCell">
    <xdr:from>
      <xdr:col>0</xdr:col>
      <xdr:colOff>36990</xdr:colOff>
      <xdr:row>13</xdr:row>
      <xdr:rowOff>175704</xdr:rowOff>
    </xdr:from>
    <xdr:to>
      <xdr:col>0</xdr:col>
      <xdr:colOff>263987</xdr:colOff>
      <xdr:row>15</xdr:row>
      <xdr:rowOff>818</xdr:rowOff>
    </xdr:to>
    <xdr:pic>
      <xdr:nvPicPr>
        <xdr:cNvPr id="23" name="Graphic 22" descr="Receipt with solid fill">
          <a:extLst>
            <a:ext uri="{FF2B5EF4-FFF2-40B4-BE49-F238E27FC236}">
              <a16:creationId xmlns:a16="http://schemas.microsoft.com/office/drawing/2014/main" id="{9ABEC05F-4620-EE77-ECE5-AEAF4370E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6990" y="3282888"/>
          <a:ext cx="226997" cy="226997"/>
        </a:xfrm>
        <a:prstGeom prst="rect">
          <a:avLst/>
        </a:prstGeom>
      </xdr:spPr>
    </xdr:pic>
    <xdr:clientData/>
  </xdr:twoCellAnchor>
  <xdr:twoCellAnchor editAs="oneCell">
    <xdr:from>
      <xdr:col>2</xdr:col>
      <xdr:colOff>69453</xdr:colOff>
      <xdr:row>3</xdr:row>
      <xdr:rowOff>41952</xdr:rowOff>
    </xdr:from>
    <xdr:to>
      <xdr:col>2</xdr:col>
      <xdr:colOff>476250</xdr:colOff>
      <xdr:row>4</xdr:row>
      <xdr:rowOff>320948</xdr:rowOff>
    </xdr:to>
    <xdr:pic>
      <xdr:nvPicPr>
        <xdr:cNvPr id="25" name="Graphic 24" descr="Users with solid fill">
          <a:extLst>
            <a:ext uri="{FF2B5EF4-FFF2-40B4-BE49-F238E27FC236}">
              <a16:creationId xmlns:a16="http://schemas.microsoft.com/office/drawing/2014/main" id="{675FA619-10FB-0E02-F636-2D9B29A41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564892" y="977741"/>
          <a:ext cx="406797" cy="459364"/>
        </a:xfrm>
        <a:prstGeom prst="rect">
          <a:avLst/>
        </a:prstGeom>
      </xdr:spPr>
    </xdr:pic>
    <xdr:clientData/>
  </xdr:twoCellAnchor>
  <xdr:twoCellAnchor editAs="oneCell">
    <xdr:from>
      <xdr:col>6</xdr:col>
      <xdr:colOff>55702</xdr:colOff>
      <xdr:row>3</xdr:row>
      <xdr:rowOff>27852</xdr:rowOff>
    </xdr:from>
    <xdr:to>
      <xdr:col>7</xdr:col>
      <xdr:colOff>27851</xdr:colOff>
      <xdr:row>5</xdr:row>
      <xdr:rowOff>3448</xdr:rowOff>
    </xdr:to>
    <xdr:pic>
      <xdr:nvPicPr>
        <xdr:cNvPr id="27" name="Graphic 26" descr="Coins with solid fill">
          <a:extLst>
            <a:ext uri="{FF2B5EF4-FFF2-40B4-BE49-F238E27FC236}">
              <a16:creationId xmlns:a16="http://schemas.microsoft.com/office/drawing/2014/main" id="{E6BE1D12-3D37-976A-19ED-CD2520E09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935176" y="963641"/>
          <a:ext cx="484605" cy="484605"/>
        </a:xfrm>
        <a:prstGeom prst="rect">
          <a:avLst/>
        </a:prstGeom>
      </xdr:spPr>
    </xdr:pic>
    <xdr:clientData/>
  </xdr:twoCellAnchor>
  <xdr:twoCellAnchor editAs="oneCell">
    <xdr:from>
      <xdr:col>10</xdr:col>
      <xdr:colOff>38992</xdr:colOff>
      <xdr:row>3</xdr:row>
      <xdr:rowOff>94693</xdr:rowOff>
    </xdr:from>
    <xdr:to>
      <xdr:col>11</xdr:col>
      <xdr:colOff>22281</xdr:colOff>
      <xdr:row>5</xdr:row>
      <xdr:rowOff>64720</xdr:rowOff>
    </xdr:to>
    <xdr:pic>
      <xdr:nvPicPr>
        <xdr:cNvPr id="29" name="Graphic 28" descr="List with solid fill">
          <a:extLst>
            <a:ext uri="{FF2B5EF4-FFF2-40B4-BE49-F238E27FC236}">
              <a16:creationId xmlns:a16="http://schemas.microsoft.com/office/drawing/2014/main" id="{8D61A6A9-CA26-6A5C-1630-9C305023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7319211" y="1030482"/>
          <a:ext cx="479035" cy="4790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50132</xdr:colOff>
      <xdr:row>3</xdr:row>
      <xdr:rowOff>161535</xdr:rowOff>
    </xdr:from>
    <xdr:to>
      <xdr:col>15</xdr:col>
      <xdr:colOff>44562</xdr:colOff>
      <xdr:row>5</xdr:row>
      <xdr:rowOff>70290</xdr:rowOff>
    </xdr:to>
    <xdr:pic>
      <xdr:nvPicPr>
        <xdr:cNvPr id="31" name="Graphic 30" descr="Signal with solid fill">
          <a:extLst>
            <a:ext uri="{FF2B5EF4-FFF2-40B4-BE49-F238E27FC236}">
              <a16:creationId xmlns:a16="http://schemas.microsoft.com/office/drawing/2014/main" id="{F1242C27-09E7-FF1D-5336-7064CC97C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9703246" y="1097324"/>
          <a:ext cx="417763" cy="417763"/>
        </a:xfrm>
        <a:prstGeom prst="rect">
          <a:avLst/>
        </a:prstGeom>
      </xdr:spPr>
    </xdr:pic>
    <xdr:clientData/>
  </xdr:twoCellAnchor>
  <xdr:twoCellAnchor editAs="oneCell">
    <xdr:from>
      <xdr:col>12</xdr:col>
      <xdr:colOff>99231</xdr:colOff>
      <xdr:row>24</xdr:row>
      <xdr:rowOff>6350</xdr:rowOff>
    </xdr:from>
    <xdr:to>
      <xdr:col>13</xdr:col>
      <xdr:colOff>48326</xdr:colOff>
      <xdr:row>25</xdr:row>
      <xdr:rowOff>41030</xdr:rowOff>
    </xdr:to>
    <xdr:pic>
      <xdr:nvPicPr>
        <xdr:cNvPr id="33" name="Graphic 32" descr="Lightbulb with solid fill">
          <a:extLst>
            <a:ext uri="{FF2B5EF4-FFF2-40B4-BE49-F238E27FC236}">
              <a16:creationId xmlns:a16="http://schemas.microsoft.com/office/drawing/2014/main" id="{DDADE71B-6CB1-C60F-854E-021B24003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8874931" y="5251450"/>
          <a:ext cx="336445" cy="333130"/>
        </a:xfrm>
        <a:prstGeom prst="rect">
          <a:avLst/>
        </a:prstGeom>
      </xdr:spPr>
    </xdr:pic>
    <xdr:clientData/>
  </xdr:twoCellAnchor>
  <xdr:twoCellAnchor>
    <xdr:from>
      <xdr:col>12</xdr:col>
      <xdr:colOff>190546</xdr:colOff>
      <xdr:row>26</xdr:row>
      <xdr:rowOff>154626</xdr:rowOff>
    </xdr:from>
    <xdr:to>
      <xdr:col>12</xdr:col>
      <xdr:colOff>340546</xdr:colOff>
      <xdr:row>28</xdr:row>
      <xdr:rowOff>17155</xdr:rowOff>
    </xdr:to>
    <xdr:sp macro="" textlink="">
      <xdr:nvSpPr>
        <xdr:cNvPr id="36" name="Arrow: Up 35">
          <a:extLst>
            <a:ext uri="{FF2B5EF4-FFF2-40B4-BE49-F238E27FC236}">
              <a16:creationId xmlns:a16="http://schemas.microsoft.com/office/drawing/2014/main" id="{DE4E9973-FE13-5C8B-FCC3-F334CA542E07}"/>
            </a:ext>
          </a:extLst>
        </xdr:cNvPr>
        <xdr:cNvSpPr/>
      </xdr:nvSpPr>
      <xdr:spPr>
        <a:xfrm>
          <a:off x="8963764" y="5884224"/>
          <a:ext cx="150000" cy="227471"/>
        </a:xfrm>
        <a:prstGeom prst="upArrow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195144</xdr:colOff>
      <xdr:row>29</xdr:row>
      <xdr:rowOff>143506</xdr:rowOff>
    </xdr:from>
    <xdr:to>
      <xdr:col>12</xdr:col>
      <xdr:colOff>355144</xdr:colOff>
      <xdr:row>30</xdr:row>
      <xdr:rowOff>180977</xdr:rowOff>
    </xdr:to>
    <xdr:sp macro="" textlink="">
      <xdr:nvSpPr>
        <xdr:cNvPr id="37" name="Arrow: Up 36">
          <a:extLst>
            <a:ext uri="{FF2B5EF4-FFF2-40B4-BE49-F238E27FC236}">
              <a16:creationId xmlns:a16="http://schemas.microsoft.com/office/drawing/2014/main" id="{39E55D35-817C-443D-8B88-9816371BCFA1}"/>
            </a:ext>
          </a:extLst>
        </xdr:cNvPr>
        <xdr:cNvSpPr/>
      </xdr:nvSpPr>
      <xdr:spPr>
        <a:xfrm>
          <a:off x="8968362" y="6420517"/>
          <a:ext cx="160000" cy="219943"/>
        </a:xfrm>
        <a:prstGeom prst="up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201494</xdr:colOff>
      <xdr:row>32</xdr:row>
      <xdr:rowOff>175575</xdr:rowOff>
    </xdr:from>
    <xdr:to>
      <xdr:col>12</xdr:col>
      <xdr:colOff>356494</xdr:colOff>
      <xdr:row>34</xdr:row>
      <xdr:rowOff>38103</xdr:rowOff>
    </xdr:to>
    <xdr:sp macro="" textlink="">
      <xdr:nvSpPr>
        <xdr:cNvPr id="38" name="Arrow: Up 37">
          <a:extLst>
            <a:ext uri="{FF2B5EF4-FFF2-40B4-BE49-F238E27FC236}">
              <a16:creationId xmlns:a16="http://schemas.microsoft.com/office/drawing/2014/main" id="{8F6AD6B2-9C00-47F7-94FE-E70168091B30}"/>
            </a:ext>
          </a:extLst>
        </xdr:cNvPr>
        <xdr:cNvSpPr/>
      </xdr:nvSpPr>
      <xdr:spPr>
        <a:xfrm rot="10800000">
          <a:off x="8974712" y="7000000"/>
          <a:ext cx="155000" cy="227471"/>
        </a:xfrm>
        <a:prstGeom prst="up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138746</xdr:colOff>
      <xdr:row>35</xdr:row>
      <xdr:rowOff>160575</xdr:rowOff>
    </xdr:from>
    <xdr:to>
      <xdr:col>13</xdr:col>
      <xdr:colOff>459</xdr:colOff>
      <xdr:row>37</xdr:row>
      <xdr:rowOff>35948</xdr:rowOff>
    </xdr:to>
    <xdr:pic>
      <xdr:nvPicPr>
        <xdr:cNvPr id="40" name="Graphic 39" descr="Blockchain with solid fill">
          <a:extLst>
            <a:ext uri="{FF2B5EF4-FFF2-40B4-BE49-F238E27FC236}">
              <a16:creationId xmlns:a16="http://schemas.microsoft.com/office/drawing/2014/main" id="{D92B0DE7-41E2-51FD-9E6A-43ED9EE8C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8911964" y="7532414"/>
          <a:ext cx="244903" cy="240316"/>
        </a:xfrm>
        <a:prstGeom prst="rect">
          <a:avLst/>
        </a:prstGeom>
      </xdr:spPr>
    </xdr:pic>
    <xdr:clientData/>
  </xdr:twoCellAnchor>
  <xdr:twoCellAnchor editAs="oneCell">
    <xdr:from>
      <xdr:col>12</xdr:col>
      <xdr:colOff>156495</xdr:colOff>
      <xdr:row>38</xdr:row>
      <xdr:rowOff>167873</xdr:rowOff>
    </xdr:from>
    <xdr:to>
      <xdr:col>12</xdr:col>
      <xdr:colOff>366095</xdr:colOff>
      <xdr:row>40</xdr:row>
      <xdr:rowOff>7101</xdr:rowOff>
    </xdr:to>
    <xdr:pic>
      <xdr:nvPicPr>
        <xdr:cNvPr id="42" name="Graphic 41" descr="Wrench with solid fill">
          <a:extLst>
            <a:ext uri="{FF2B5EF4-FFF2-40B4-BE49-F238E27FC236}">
              <a16:creationId xmlns:a16="http://schemas.microsoft.com/office/drawing/2014/main" id="{CA9225BF-5F1B-5A1C-3BF1-584FDC9B8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8929713" y="8087126"/>
          <a:ext cx="209600" cy="2041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CE5E3-ADA9-4B40-9898-3805D6FC1E23}" name="Table1" displayName="Table1" ref="A1:H17" totalsRowShown="0" headerRowDxfId="42">
  <autoFilter ref="A1:H17" xr:uid="{C3DCE5E3-ADA9-4B40-9898-3805D6FC1E23}"/>
  <tableColumns count="8">
    <tableColumn id="1" xr3:uid="{6352D548-2E36-4736-AFC7-023B013E1AF6}" name="Apartment_ID"/>
    <tableColumn id="2" xr3:uid="{49517F9A-98FF-485C-AE99-5C9E83D4FADC}" name="Building"/>
    <tableColumn id="3" xr3:uid="{315E0DCC-3509-4E88-ABEF-D734235A83E5}" name="Floor"/>
    <tableColumn id="4" xr3:uid="{5051FB34-7555-4210-B651-A8B4DC04335B}" name="Unit_Number"/>
    <tableColumn id="5" xr3:uid="{DD5515D9-6FD9-4922-8EDB-52F271176DFE}" name="Apartment_Type"/>
    <tableColumn id="6" xr3:uid="{6B183A1A-287D-45FC-A4C5-FB789E072752}" name="Bedrooms"/>
    <tableColumn id="7" xr3:uid="{3B7FD024-224D-48A9-A8E1-F716202C5989}" name="Monthly_Rent" dataCellStyle="Currency"/>
    <tableColumn id="8" xr3:uid="{EF76ECAA-ED44-4E53-AA2D-2F1BBC31B4D3}" name="Occupancy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82BE5E-F613-40B7-B98E-1FAC054D9DEF}" name="Table2" displayName="Table2" ref="A1:J13" totalsRowShown="0" headerRowDxfId="41">
  <autoFilter ref="A1:J13" xr:uid="{8B82BE5E-F613-40B7-B98E-1FAC054D9DEF}"/>
  <tableColumns count="10">
    <tableColumn id="1" xr3:uid="{57E82A16-F761-4097-ABE7-8814F149C94E}" name="Tenant_ID"/>
    <tableColumn id="2" xr3:uid="{D438DA25-F8D3-4808-BDC4-86F6D8981129}" name="First_Name"/>
    <tableColumn id="3" xr3:uid="{BD93AEFB-32DB-4765-879E-26AA2686A8D9}" name="Last_Name"/>
    <tableColumn id="4" xr3:uid="{7A71C0EB-88A2-4A78-BB18-467FBBD19ED7}" name="Phone"/>
    <tableColumn id="5" xr3:uid="{30CFA1D5-7822-4E58-B8D4-53B7D719DF87}" name="Email"/>
    <tableColumn id="6" xr3:uid="{71842819-0AE2-4366-9F11-87E94FAA88B4}" name="Apartment_ID"/>
    <tableColumn id="7" xr3:uid="{9957BF9F-5622-4F67-8949-D8E1D78DBF03}" name="Lease_Start"/>
    <tableColumn id="8" xr3:uid="{91E0258A-FF60-4231-BC75-9380D7D17C9D}" name="Lease_End"/>
    <tableColumn id="9" xr3:uid="{3BFA12C3-2691-4761-B206-A5B67A7C7715}" name="Monthly_Rent" dataDxfId="40" dataCellStyle="Currency">
      <calculatedColumnFormula>_xlfn.XLOOKUP(Table2[[#This Row],[Apartment_ID]],Table1[Apartment_ID],Table1[Monthly_Rent],"")</calculatedColumnFormula>
    </tableColumn>
    <tableColumn id="10" xr3:uid="{31B715CF-4994-4840-A880-37F867B0A685}" name="Tenant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14C15F-391A-43B3-9EEA-9A5EFD13D5DC}" name="Table3" displayName="Table3" ref="A4:K27" totalsRowShown="0" headerRowDxfId="39">
  <autoFilter ref="A4:K27" xr:uid="{8614C15F-391A-43B3-9EEA-9A5EFD13D5DC}"/>
  <tableColumns count="11">
    <tableColumn id="1" xr3:uid="{1444E429-A9EB-4E3C-BB5F-0B816293EF23}" name="Payment_ID" dataDxfId="38"/>
    <tableColumn id="2" xr3:uid="{614CAC82-FB1E-40D2-987F-EBB5893E4474}" name="Tenant_ID" dataDxfId="37"/>
    <tableColumn id="3" xr3:uid="{8AD1D938-2D65-438E-9657-D7C50183C0C8}" name="Apartment_ID" dataDxfId="36">
      <calculatedColumnFormula>_xlfn.XLOOKUP(Table3[[#This Row],[Tenant_ID]],Table2[Tenant_ID],Table2[Apartment_ID],"")</calculatedColumnFormula>
    </tableColumn>
    <tableColumn id="4" xr3:uid="{7FA106C5-C437-4FB7-8738-45A8AAC9A74F}" name="Payment_Month" dataDxfId="35"/>
    <tableColumn id="5" xr3:uid="{3B356703-E414-413E-989E-70CFAF85B2EA}" name="Due_Amount" dataDxfId="34" dataCellStyle="Currency">
      <calculatedColumnFormula>_xlfn.XLOOKUP(Table3[[#This Row],[Tenant_ID]],Table2[Tenant_ID],Table2[Monthly_Rent],"")</calculatedColumnFormula>
    </tableColumn>
    <tableColumn id="6" xr3:uid="{1B8944C5-C374-470B-B2D4-FB5E0B767F5F}" name="Paid_Amount" dataDxfId="33" dataCellStyle="Currency"/>
    <tableColumn id="11" xr3:uid="{BD511DE0-5B37-4DE1-AFB6-74D480ED379F}" name="Balance" dataDxfId="32" dataCellStyle="Currency">
      <calculatedColumnFormula>MAX(Table3[[#This Row],[Due_Amount]]-Table3[[#This Row],[Paid_Amount]],0)</calculatedColumnFormula>
    </tableColumn>
    <tableColumn id="7" xr3:uid="{27DCA0B6-1288-4CCD-AEA2-BB24DAD76536}" name="Payment_Date" dataDxfId="31"/>
    <tableColumn id="8" xr3:uid="{1145E896-EC46-4D05-9ECC-A6F3FC42DD28}" name="Payment_Method" dataDxfId="30"/>
    <tableColumn id="9" xr3:uid="{7E9AB0AC-7647-486C-BA13-0162F6A90DE2}" name="Payment_Status" dataDxfId="29">
      <calculatedColumnFormula>IF(Table3[[#This Row],[Paid_Amount]]=0,"Unpaid",IF(Table3[[#This Row],[Paid_Amount]]&lt;Table3[[#This Row],[Due_Amount]],"Partial","Paid"))</calculatedColumnFormula>
    </tableColumn>
    <tableColumn id="13" xr3:uid="{53936E29-E5BC-4CEE-A5BD-D346BA042DE9}" name="Payment_Timing" dataDxfId="28">
      <calculatedColumnFormula>IF(Table3[[#This Row],[Paid_Amount]]=0,"Not Paid",IF(DAY(Table3[[#This Row],[Payment_Date]])&lt;=$J$1,"On-time","Late"))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83DD88-CBD7-49BB-B3AA-52557F1B7967}" name="Table4" displayName="Table4" ref="A1:L19" totalsRowShown="0" headerRowDxfId="27" dataDxfId="26">
  <autoFilter ref="A1:L19" xr:uid="{1883DD88-CBD7-49BB-B3AA-52557F1B7967}"/>
  <tableColumns count="12">
    <tableColumn id="1" xr3:uid="{7023CE7B-A4F6-43FC-817E-2A549AF5AE4B}" name="Request_ID" dataDxfId="25"/>
    <tableColumn id="2" xr3:uid="{3208483E-5725-4B22-85AC-412176A1137F}" name="Apartment_ID" dataDxfId="24"/>
    <tableColumn id="3" xr3:uid="{220058B8-8DC8-4BCD-A61D-61637EDEE81B}" name="Request_Date" dataDxfId="23"/>
    <tableColumn id="4" xr3:uid="{365B3AB5-E446-4115-B7D1-E0A813C8B4CC}" name="Category" dataDxfId="22"/>
    <tableColumn id="5" xr3:uid="{9C2BCB80-750F-486C-A7CE-D0CEC4BB5BDB}" name="Description" dataDxfId="21"/>
    <tableColumn id="6" xr3:uid="{0E80C43F-35F9-46EF-9BC1-317C9907C6B3}" name="Priority" dataDxfId="20"/>
    <tableColumn id="7" xr3:uid="{65E62A2B-A752-483C-B572-ABE0C66384B2}" name="Maintenance_Status" dataDxfId="19"/>
    <tableColumn id="8" xr3:uid="{F5486E76-F639-4CCB-B6D6-43E5E214BCF1}" name="Completion_Date" dataDxfId="18"/>
    <tableColumn id="9" xr3:uid="{0264B785-6C52-4474-8EC8-18270A4C94F1}" name="Cost" dataDxfId="17" dataCellStyle="Currency"/>
    <tableColumn id="10" xr3:uid="{AF918461-5C4A-44D8-ADBF-4CE1C44A047F}" name="Vendor" dataDxfId="16"/>
    <tableColumn id="11" xr3:uid="{9B18B193-155C-4146-854C-5DCE04CB9E19}" name="Days_Open" dataDxfId="15">
      <calculatedColumnFormula>IF(Table4[[#This Row],[Maintenance_Status]]="Completed",Table4[[#This Row],[Completion_Date]]-Table4[[#This Row],[Request_Date]],TODAY()-Table4[[#This Row],[Request_Date]])</calculatedColumnFormula>
    </tableColumn>
    <tableColumn id="12" xr3:uid="{73D75739-A4C8-4DCB-AB93-564EE9BBC489}" name="Attention_Flag" dataDxfId="14">
      <calculatedColumnFormula>IF(Table4[[#This Row],[Maintenance_Status]]="Completed","Closed",IF(AND(Table4[[#This Row],[Priority]]="High",Table4[[#This Row],[Maintenance_Status]]&lt;&gt;"Completed"),"Urgent",IF(Table4[[#This Row],[Days_Open]]&gt;14,"Needs Attention","Normal")))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68D2B-9D77-481E-9CB2-5AD86EA1BFE2}" name="Table5" displayName="Table5" ref="A1:H25" totalsRowShown="0" headerRowDxfId="13" dataDxfId="12">
  <autoFilter ref="A1:H25" xr:uid="{91568D2B-9D77-481E-9CB2-5AD86EA1BFE2}"/>
  <tableColumns count="8">
    <tableColumn id="1" xr3:uid="{19A21C0D-D9E1-44E6-A30C-6DA17359FC3C}" name="Expense_ID" dataDxfId="11"/>
    <tableColumn id="2" xr3:uid="{845C9EF0-64ED-4C89-9054-505A7A527BEA}" name="Expense_Date" dataDxfId="10"/>
    <tableColumn id="3" xr3:uid="{47F85761-8AA3-4919-A480-19C170776485}" name="Expense_Category" dataDxfId="9"/>
    <tableColumn id="4" xr3:uid="{A1A4CFFF-335C-4A63-A982-8CF80AF0B0AF}" name="Description" dataDxfId="8"/>
    <tableColumn id="5" xr3:uid="{9B951A46-AEDC-43DC-A219-F76B3697A8F3}" name="Building" dataDxfId="7"/>
    <tableColumn id="6" xr3:uid="{6F462241-918C-46D8-BF99-A1447C73723C}" name="Amount" dataDxfId="6" dataCellStyle="Currency"/>
    <tableColumn id="7" xr3:uid="{7C79F697-B97F-4319-B76C-071A9BC77448}" name="Payment_Method" dataDxfId="5"/>
    <tableColumn id="8" xr3:uid="{2AA0369A-30A1-4187-ADCE-C44C0C09BC1D}" name="Vendor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zain.abdullah@example.com" TargetMode="External"/><Relationship Id="rId13" Type="http://schemas.openxmlformats.org/officeDocument/2006/relationships/table" Target="../tables/table2.xml"/><Relationship Id="rId3" Type="http://schemas.openxmlformats.org/officeDocument/2006/relationships/hyperlink" Target="mailto:youssef.ali@example.com" TargetMode="External"/><Relationship Id="rId7" Type="http://schemas.openxmlformats.org/officeDocument/2006/relationships/hyperlink" Target="mailto:noor.saleh@example.com" TargetMode="External"/><Relationship Id="rId12" Type="http://schemas.openxmlformats.org/officeDocument/2006/relationships/hyperlink" Target="mailto:layla.mustafa@example.com" TargetMode="External"/><Relationship Id="rId2" Type="http://schemas.openxmlformats.org/officeDocument/2006/relationships/hyperlink" Target="mailto:lina.ahmed@example.com" TargetMode="External"/><Relationship Id="rId1" Type="http://schemas.openxmlformats.org/officeDocument/2006/relationships/hyperlink" Target="mailto:omar.hassan@example.com" TargetMode="External"/><Relationship Id="rId6" Type="http://schemas.openxmlformats.org/officeDocument/2006/relationships/hyperlink" Target="mailto:sara.mahmoud@example.com" TargetMode="External"/><Relationship Id="rId11" Type="http://schemas.openxmlformats.org/officeDocument/2006/relationships/hyperlink" Target="mailto:reem.saad@example.com" TargetMode="External"/><Relationship Id="rId5" Type="http://schemas.openxmlformats.org/officeDocument/2006/relationships/hyperlink" Target="mailto:adam.ibrahim@example.com" TargetMode="External"/><Relationship Id="rId10" Type="http://schemas.openxmlformats.org/officeDocument/2006/relationships/hyperlink" Target="mailto:faisal.hamad@example.com" TargetMode="External"/><Relationship Id="rId4" Type="http://schemas.openxmlformats.org/officeDocument/2006/relationships/hyperlink" Target="mailto:mariam.khalid@example.com" TargetMode="External"/><Relationship Id="rId9" Type="http://schemas.openxmlformats.org/officeDocument/2006/relationships/hyperlink" Target="mailto:huda.nasser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C1F9-E673-4B06-80FD-2A4817BF675B}">
  <dimension ref="A1:T26"/>
  <sheetViews>
    <sheetView showGridLines="0" zoomScale="66" workbookViewId="0">
      <selection activeCell="N18" sqref="N18"/>
    </sheetView>
  </sheetViews>
  <sheetFormatPr defaultRowHeight="14.5"/>
  <cols>
    <col min="9" max="9" width="8.7265625" customWidth="1"/>
  </cols>
  <sheetData>
    <row r="1" spans="1:20" ht="37">
      <c r="A1" s="83" t="s">
        <v>304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spans="1:20" ht="16">
      <c r="A2" s="84" t="s">
        <v>305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20" ht="16">
      <c r="A3" s="85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</row>
    <row r="4" spans="1:20" ht="23.5">
      <c r="A4" s="86" t="s">
        <v>306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</row>
    <row r="5" spans="1:20" ht="16">
      <c r="A5" s="87" t="s">
        <v>307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</row>
    <row r="6" spans="1:20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</row>
    <row r="7" spans="1:20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</row>
    <row r="8" spans="1:20" ht="18.5">
      <c r="A8" s="82"/>
      <c r="B8" s="89" t="s">
        <v>308</v>
      </c>
      <c r="C8" s="88"/>
      <c r="D8" s="88"/>
      <c r="E8" s="88"/>
      <c r="F8" s="88"/>
      <c r="G8" s="88"/>
      <c r="H8" s="88"/>
      <c r="I8" s="82"/>
      <c r="J8" s="82"/>
      <c r="K8" s="82"/>
      <c r="L8" s="82"/>
      <c r="M8" s="82"/>
      <c r="N8" s="89" t="s">
        <v>311</v>
      </c>
      <c r="O8" s="88"/>
      <c r="P8" s="88"/>
      <c r="Q8" s="88"/>
      <c r="R8" s="88"/>
      <c r="S8" s="88"/>
      <c r="T8" s="88"/>
    </row>
    <row r="9" spans="1:20">
      <c r="A9" s="82"/>
      <c r="B9" s="90" t="s">
        <v>309</v>
      </c>
      <c r="C9" s="88"/>
      <c r="D9" s="88"/>
      <c r="E9" s="88"/>
      <c r="F9" s="88"/>
      <c r="G9" s="88"/>
      <c r="H9" s="88"/>
      <c r="I9" s="82"/>
      <c r="J9" s="82"/>
      <c r="K9" s="82"/>
      <c r="L9" s="82"/>
      <c r="M9" s="82"/>
      <c r="N9" s="90" t="s">
        <v>312</v>
      </c>
      <c r="O9" s="88"/>
      <c r="P9" s="88"/>
      <c r="Q9" s="88"/>
      <c r="R9" s="88"/>
      <c r="S9" s="88"/>
      <c r="T9" s="88"/>
    </row>
    <row r="10" spans="1:20" ht="15" thickBot="1">
      <c r="A10" s="82"/>
      <c r="B10" s="93" t="s">
        <v>310</v>
      </c>
      <c r="C10" s="92"/>
      <c r="D10" s="92"/>
      <c r="E10" s="92"/>
      <c r="F10" s="92"/>
      <c r="G10" s="92"/>
      <c r="H10" s="92"/>
      <c r="I10" s="82"/>
      <c r="J10" s="82"/>
      <c r="K10" s="82"/>
      <c r="L10" s="82"/>
      <c r="M10" s="82"/>
      <c r="N10" s="93" t="s">
        <v>313</v>
      </c>
      <c r="O10" s="92"/>
      <c r="P10" s="92"/>
      <c r="Q10" s="92"/>
      <c r="R10" s="92"/>
      <c r="S10" s="92"/>
      <c r="T10" s="92"/>
    </row>
    <row r="11" spans="1:20" ht="15" thickTop="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</row>
    <row r="12" spans="1:20" ht="18.5">
      <c r="A12" s="82"/>
      <c r="B12" s="89" t="s">
        <v>314</v>
      </c>
      <c r="C12" s="88"/>
      <c r="D12" s="88"/>
      <c r="E12" s="88"/>
      <c r="F12" s="88"/>
      <c r="G12" s="88"/>
      <c r="H12" s="88"/>
      <c r="I12" s="82"/>
      <c r="J12" s="82"/>
      <c r="K12" s="82"/>
      <c r="L12" s="82"/>
      <c r="M12" s="82"/>
      <c r="N12" s="89" t="s">
        <v>317</v>
      </c>
      <c r="O12" s="88"/>
      <c r="P12" s="88"/>
      <c r="Q12" s="88"/>
      <c r="R12" s="88"/>
      <c r="S12" s="88"/>
      <c r="T12" s="88"/>
    </row>
    <row r="13" spans="1:20">
      <c r="A13" s="82"/>
      <c r="B13" s="90" t="s">
        <v>315</v>
      </c>
      <c r="C13" s="88"/>
      <c r="D13" s="88"/>
      <c r="E13" s="88"/>
      <c r="F13" s="88"/>
      <c r="G13" s="88"/>
      <c r="H13" s="88"/>
      <c r="I13" s="82"/>
      <c r="J13" s="82"/>
      <c r="K13" s="82"/>
      <c r="L13" s="82"/>
      <c r="M13" s="82"/>
      <c r="N13" s="90" t="s">
        <v>318</v>
      </c>
      <c r="O13" s="88"/>
      <c r="P13" s="88"/>
      <c r="Q13" s="88"/>
      <c r="R13" s="88"/>
      <c r="S13" s="88"/>
      <c r="T13" s="88"/>
    </row>
    <row r="14" spans="1:20" ht="15" thickBot="1">
      <c r="A14" s="82"/>
      <c r="B14" s="93" t="s">
        <v>316</v>
      </c>
      <c r="C14" s="92"/>
      <c r="D14" s="92"/>
      <c r="E14" s="92"/>
      <c r="F14" s="92"/>
      <c r="G14" s="92"/>
      <c r="H14" s="92"/>
      <c r="I14" s="82"/>
      <c r="J14" s="82"/>
      <c r="K14" s="82"/>
      <c r="L14" s="82"/>
      <c r="M14" s="82"/>
      <c r="N14" s="93" t="s">
        <v>319</v>
      </c>
      <c r="O14" s="92"/>
      <c r="P14" s="92"/>
      <c r="Q14" s="92"/>
      <c r="R14" s="92"/>
      <c r="S14" s="92"/>
      <c r="T14" s="92"/>
    </row>
    <row r="15" spans="1:20" ht="15" thickTop="1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</row>
    <row r="16" spans="1:20" ht="18.5">
      <c r="A16" s="82"/>
      <c r="B16" s="89" t="s">
        <v>320</v>
      </c>
      <c r="C16" s="88"/>
      <c r="D16" s="88"/>
      <c r="E16" s="88"/>
      <c r="F16" s="88"/>
      <c r="G16" s="88"/>
      <c r="H16" s="88"/>
      <c r="I16" s="82"/>
      <c r="J16" s="82"/>
      <c r="K16" s="82"/>
      <c r="L16" s="82"/>
      <c r="M16" s="82"/>
      <c r="N16" s="89" t="s">
        <v>323</v>
      </c>
      <c r="O16" s="88"/>
      <c r="P16" s="88"/>
      <c r="Q16" s="88"/>
      <c r="R16" s="88"/>
      <c r="S16" s="88"/>
      <c r="T16" s="88"/>
    </row>
    <row r="17" spans="1:20">
      <c r="A17" s="82"/>
      <c r="B17" s="90" t="s">
        <v>321</v>
      </c>
      <c r="C17" s="88"/>
      <c r="D17" s="88"/>
      <c r="E17" s="88"/>
      <c r="F17" s="88"/>
      <c r="G17" s="88"/>
      <c r="H17" s="88"/>
      <c r="I17" s="82"/>
      <c r="J17" s="82"/>
      <c r="K17" s="82"/>
      <c r="L17" s="82"/>
      <c r="M17" s="82"/>
      <c r="N17" s="90" t="s">
        <v>324</v>
      </c>
      <c r="O17" s="88"/>
      <c r="P17" s="88"/>
      <c r="Q17" s="88"/>
      <c r="R17" s="88"/>
      <c r="S17" s="88"/>
      <c r="T17" s="88"/>
    </row>
    <row r="18" spans="1:20" ht="15" thickBot="1">
      <c r="A18" s="82"/>
      <c r="B18" s="93" t="s">
        <v>322</v>
      </c>
      <c r="C18" s="92"/>
      <c r="D18" s="92"/>
      <c r="E18" s="92"/>
      <c r="F18" s="92"/>
      <c r="G18" s="92"/>
      <c r="H18" s="92"/>
      <c r="I18" s="82"/>
      <c r="J18" s="82"/>
      <c r="K18" s="82"/>
      <c r="L18" s="82"/>
      <c r="M18" s="82"/>
      <c r="N18" s="93" t="s">
        <v>325</v>
      </c>
      <c r="O18" s="92"/>
      <c r="P18" s="92"/>
      <c r="Q18" s="92"/>
      <c r="R18" s="92"/>
      <c r="S18" s="92"/>
      <c r="T18" s="92"/>
    </row>
    <row r="19" spans="1:20" ht="15" thickTop="1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</row>
    <row r="20" spans="1:20" ht="18.5">
      <c r="A20" s="82"/>
      <c r="B20" s="82"/>
      <c r="C20" s="82"/>
      <c r="D20" s="82"/>
      <c r="E20" s="82"/>
      <c r="F20" s="82"/>
      <c r="G20" s="82"/>
      <c r="H20" s="89" t="s">
        <v>326</v>
      </c>
      <c r="I20" s="88"/>
      <c r="J20" s="88"/>
      <c r="K20" s="88"/>
      <c r="L20" s="88"/>
      <c r="M20" s="88"/>
      <c r="N20" s="88"/>
      <c r="O20" s="82"/>
      <c r="P20" s="82"/>
      <c r="Q20" s="82"/>
      <c r="R20" s="82"/>
      <c r="S20" s="82"/>
    </row>
    <row r="21" spans="1:20">
      <c r="A21" s="82"/>
      <c r="B21" s="82"/>
      <c r="C21" s="82"/>
      <c r="D21" s="82"/>
      <c r="E21" s="82"/>
      <c r="F21" s="82"/>
      <c r="G21" s="82"/>
      <c r="H21" s="90" t="s">
        <v>327</v>
      </c>
      <c r="I21" s="88"/>
      <c r="J21" s="88"/>
      <c r="K21" s="88"/>
      <c r="L21" s="88"/>
      <c r="M21" s="88"/>
      <c r="N21" s="88"/>
      <c r="O21" s="82"/>
      <c r="P21" s="82"/>
      <c r="Q21" s="82"/>
      <c r="R21" s="82"/>
      <c r="S21" s="82"/>
    </row>
    <row r="22" spans="1:20" ht="15" thickBot="1">
      <c r="A22" s="82"/>
      <c r="B22" s="82"/>
      <c r="C22" s="82"/>
      <c r="D22" s="82"/>
      <c r="E22" s="82"/>
      <c r="F22" s="82"/>
      <c r="G22" s="82"/>
      <c r="H22" s="91" t="s">
        <v>328</v>
      </c>
      <c r="I22" s="92"/>
      <c r="J22" s="92"/>
      <c r="K22" s="92"/>
      <c r="L22" s="92"/>
      <c r="M22" s="92"/>
      <c r="N22" s="92"/>
      <c r="O22" s="82"/>
      <c r="P22" s="82"/>
      <c r="Q22" s="82"/>
      <c r="R22" s="82"/>
      <c r="S22" s="82"/>
    </row>
    <row r="23" spans="1:20" ht="15" thickTop="1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</row>
    <row r="24" spans="1:20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</row>
    <row r="25" spans="1:20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</row>
    <row r="26" spans="1:20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</row>
  </sheetData>
  <hyperlinks>
    <hyperlink ref="B8" location="Dashboard!A1" display="DASHBOARD" xr:uid="{F549BECB-4C45-4A4C-8444-5C365A84CA90}"/>
    <hyperlink ref="N8" location="Apartments!A1" display="APARTMENTS" xr:uid="{00ECA05B-088C-4D7F-A9C3-6436CEEE9F0B}"/>
    <hyperlink ref="B12" location="Tenants!A1" display="TENANTS" xr:uid="{676D4A36-DF39-43EF-9F0B-0DE1C2592948}"/>
    <hyperlink ref="N12" location="Rent_Payments!A1" display="RENT PAYMENTS" xr:uid="{D1403601-9BD2-4F58-9A64-6797B271E2AC}"/>
    <hyperlink ref="B16" location="Maintenance!A1" display="MAINTENANCE" xr:uid="{BA154181-5B4C-45A8-834B-8931988B0EEE}"/>
    <hyperlink ref="N16" location="Expenses!A1" display="EXPENSES" xr:uid="{FCA5C443-C0FF-458F-9C79-99FEDA35F624}"/>
    <hyperlink ref="H20" location="Analysis!A1" display="ANALYSIS" xr:uid="{D448D1F1-9651-44C8-AF07-35CB215FAE8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18B5-5E5A-487A-A9FF-29AF549D920F}">
  <dimension ref="A1:H17"/>
  <sheetViews>
    <sheetView zoomScale="67" workbookViewId="0">
      <selection activeCell="B1" sqref="B1"/>
    </sheetView>
  </sheetViews>
  <sheetFormatPr defaultRowHeight="14.5"/>
  <cols>
    <col min="1" max="1" width="15.7265625" bestFit="1" customWidth="1"/>
    <col min="2" max="2" width="10.54296875" bestFit="1" customWidth="1"/>
    <col min="3" max="3" width="7.7265625" bestFit="1" customWidth="1"/>
    <col min="4" max="4" width="15.26953125" bestFit="1" customWidth="1"/>
    <col min="5" max="5" width="18" bestFit="1" customWidth="1"/>
    <col min="6" max="6" width="12.1796875" bestFit="1" customWidth="1"/>
    <col min="7" max="7" width="17.08984375" style="3" bestFit="1" customWidth="1"/>
    <col min="8" max="8" width="20.453125" bestFit="1" customWidth="1"/>
  </cols>
  <sheetData>
    <row r="1" spans="1:8" s="11" customFormat="1" ht="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4" t="s">
        <v>6</v>
      </c>
      <c r="H1" s="11" t="s">
        <v>7</v>
      </c>
    </row>
    <row r="2" spans="1:8">
      <c r="A2" s="2" t="s">
        <v>16</v>
      </c>
      <c r="B2" s="2" t="s">
        <v>25</v>
      </c>
      <c r="C2" s="1">
        <v>1</v>
      </c>
      <c r="D2" s="1">
        <v>101</v>
      </c>
      <c r="E2" s="2" t="s">
        <v>26</v>
      </c>
      <c r="F2" s="1">
        <v>0</v>
      </c>
      <c r="G2" s="4">
        <v>1800</v>
      </c>
      <c r="H2" s="2" t="s">
        <v>27</v>
      </c>
    </row>
    <row r="3" spans="1:8">
      <c r="A3" s="2" t="s">
        <v>17</v>
      </c>
      <c r="B3" s="2" t="s">
        <v>25</v>
      </c>
      <c r="C3" s="1">
        <v>1</v>
      </c>
      <c r="D3" s="1">
        <v>102</v>
      </c>
      <c r="E3" s="2" t="s">
        <v>28</v>
      </c>
      <c r="F3" s="1">
        <v>1</v>
      </c>
      <c r="G3" s="4">
        <v>2300</v>
      </c>
      <c r="H3" s="2" t="s">
        <v>27</v>
      </c>
    </row>
    <row r="4" spans="1:8">
      <c r="A4" s="2" t="s">
        <v>18</v>
      </c>
      <c r="B4" s="2" t="s">
        <v>25</v>
      </c>
      <c r="C4" s="1">
        <v>1</v>
      </c>
      <c r="D4" s="1">
        <v>103</v>
      </c>
      <c r="E4" s="2" t="s">
        <v>29</v>
      </c>
      <c r="F4" s="1">
        <v>2</v>
      </c>
      <c r="G4" s="4">
        <v>3100</v>
      </c>
      <c r="H4" s="2" t="s">
        <v>30</v>
      </c>
    </row>
    <row r="5" spans="1:8">
      <c r="A5" s="2" t="s">
        <v>19</v>
      </c>
      <c r="B5" s="2" t="s">
        <v>25</v>
      </c>
      <c r="C5" s="1">
        <v>2</v>
      </c>
      <c r="D5" s="1">
        <v>201</v>
      </c>
      <c r="E5" s="2" t="s">
        <v>28</v>
      </c>
      <c r="F5" s="1">
        <v>1</v>
      </c>
      <c r="G5" s="4">
        <v>2400</v>
      </c>
      <c r="H5" s="2" t="s">
        <v>27</v>
      </c>
    </row>
    <row r="6" spans="1:8">
      <c r="A6" s="2" t="s">
        <v>20</v>
      </c>
      <c r="B6" s="2" t="s">
        <v>25</v>
      </c>
      <c r="C6" s="1">
        <v>2</v>
      </c>
      <c r="D6" s="1">
        <v>202</v>
      </c>
      <c r="E6" s="2" t="s">
        <v>29</v>
      </c>
      <c r="F6" s="1">
        <v>2</v>
      </c>
      <c r="G6" s="4">
        <v>3200</v>
      </c>
      <c r="H6" s="2" t="s">
        <v>27</v>
      </c>
    </row>
    <row r="7" spans="1:8">
      <c r="A7" s="2" t="s">
        <v>21</v>
      </c>
      <c r="B7" s="2" t="s">
        <v>25</v>
      </c>
      <c r="C7" s="1">
        <v>2</v>
      </c>
      <c r="D7" s="1">
        <v>203</v>
      </c>
      <c r="E7" s="2" t="s">
        <v>26</v>
      </c>
      <c r="F7" s="1">
        <v>0</v>
      </c>
      <c r="G7" s="4">
        <v>1900</v>
      </c>
      <c r="H7" s="2" t="s">
        <v>27</v>
      </c>
    </row>
    <row r="8" spans="1:8">
      <c r="A8" s="2" t="s">
        <v>22</v>
      </c>
      <c r="B8" s="2" t="s">
        <v>25</v>
      </c>
      <c r="C8" s="1">
        <v>3</v>
      </c>
      <c r="D8" s="1">
        <v>301</v>
      </c>
      <c r="E8" s="2" t="s">
        <v>31</v>
      </c>
      <c r="F8" s="1">
        <v>3</v>
      </c>
      <c r="G8" s="4">
        <v>4100</v>
      </c>
      <c r="H8" s="2" t="s">
        <v>27</v>
      </c>
    </row>
    <row r="9" spans="1:8">
      <c r="A9" s="2" t="s">
        <v>23</v>
      </c>
      <c r="B9" s="2" t="s">
        <v>25</v>
      </c>
      <c r="C9" s="1">
        <v>3</v>
      </c>
      <c r="D9" s="1">
        <v>302</v>
      </c>
      <c r="E9" s="2" t="s">
        <v>29</v>
      </c>
      <c r="F9" s="1">
        <v>2</v>
      </c>
      <c r="G9" s="4">
        <v>2600</v>
      </c>
      <c r="H9" s="2" t="s">
        <v>30</v>
      </c>
    </row>
    <row r="10" spans="1:8">
      <c r="A10" s="2" t="s">
        <v>24</v>
      </c>
      <c r="B10" s="2" t="s">
        <v>25</v>
      </c>
      <c r="C10" s="1">
        <v>3</v>
      </c>
      <c r="D10" s="1">
        <v>303</v>
      </c>
      <c r="E10" s="2" t="s">
        <v>26</v>
      </c>
      <c r="F10" s="1">
        <v>0</v>
      </c>
      <c r="G10" s="4">
        <v>1500</v>
      </c>
      <c r="H10" s="2" t="s">
        <v>30</v>
      </c>
    </row>
    <row r="11" spans="1:8">
      <c r="A11" s="2" t="s">
        <v>32</v>
      </c>
      <c r="B11" s="2" t="s">
        <v>33</v>
      </c>
      <c r="C11" s="1">
        <v>1</v>
      </c>
      <c r="D11" s="1">
        <v>101</v>
      </c>
      <c r="E11" s="2" t="s">
        <v>26</v>
      </c>
      <c r="F11" s="1">
        <v>0</v>
      </c>
      <c r="G11" s="4">
        <v>1750</v>
      </c>
      <c r="H11" s="2" t="s">
        <v>27</v>
      </c>
    </row>
    <row r="12" spans="1:8">
      <c r="A12" s="2" t="s">
        <v>34</v>
      </c>
      <c r="B12" s="2" t="s">
        <v>33</v>
      </c>
      <c r="C12" s="1">
        <v>1</v>
      </c>
      <c r="D12" s="1">
        <v>102</v>
      </c>
      <c r="E12" s="2" t="s">
        <v>28</v>
      </c>
      <c r="F12" s="1">
        <v>1</v>
      </c>
      <c r="G12" s="4">
        <v>2250</v>
      </c>
      <c r="H12" s="2" t="s">
        <v>27</v>
      </c>
    </row>
    <row r="13" spans="1:8">
      <c r="A13" s="2" t="s">
        <v>35</v>
      </c>
      <c r="B13" s="2" t="s">
        <v>33</v>
      </c>
      <c r="C13" s="1">
        <v>1</v>
      </c>
      <c r="D13" s="1">
        <v>103</v>
      </c>
      <c r="E13" s="2" t="s">
        <v>29</v>
      </c>
      <c r="F13" s="1">
        <v>2</v>
      </c>
      <c r="G13" s="4">
        <v>3000</v>
      </c>
      <c r="H13" s="2" t="s">
        <v>27</v>
      </c>
    </row>
    <row r="14" spans="1:8">
      <c r="A14" s="2" t="s">
        <v>36</v>
      </c>
      <c r="B14" s="2" t="s">
        <v>33</v>
      </c>
      <c r="C14" s="1">
        <v>2</v>
      </c>
      <c r="D14" s="1">
        <v>201</v>
      </c>
      <c r="E14" s="2" t="s">
        <v>28</v>
      </c>
      <c r="F14" s="1">
        <v>1</v>
      </c>
      <c r="G14" s="4">
        <v>2350</v>
      </c>
      <c r="H14" s="2" t="s">
        <v>30</v>
      </c>
    </row>
    <row r="15" spans="1:8">
      <c r="A15" s="2" t="s">
        <v>37</v>
      </c>
      <c r="B15" s="2" t="s">
        <v>33</v>
      </c>
      <c r="C15" s="1">
        <v>2</v>
      </c>
      <c r="D15" s="1">
        <v>202</v>
      </c>
      <c r="E15" s="2" t="s">
        <v>29</v>
      </c>
      <c r="F15" s="1">
        <v>2</v>
      </c>
      <c r="G15" s="4">
        <v>3150</v>
      </c>
      <c r="H15" s="2" t="s">
        <v>27</v>
      </c>
    </row>
    <row r="16" spans="1:8">
      <c r="A16" s="2" t="s">
        <v>38</v>
      </c>
      <c r="B16" s="2" t="s">
        <v>33</v>
      </c>
      <c r="C16" s="1">
        <v>3</v>
      </c>
      <c r="D16" s="1">
        <v>301</v>
      </c>
      <c r="E16" s="2" t="s">
        <v>31</v>
      </c>
      <c r="F16" s="1">
        <v>3</v>
      </c>
      <c r="G16" s="4">
        <v>4000</v>
      </c>
      <c r="H16" s="2" t="s">
        <v>27</v>
      </c>
    </row>
    <row r="17" spans="1:8">
      <c r="A17" s="2" t="s">
        <v>39</v>
      </c>
      <c r="B17" s="2" t="s">
        <v>33</v>
      </c>
      <c r="C17" s="1">
        <v>3</v>
      </c>
      <c r="D17" s="1">
        <v>302</v>
      </c>
      <c r="E17" s="2" t="s">
        <v>28</v>
      </c>
      <c r="F17" s="1">
        <v>1</v>
      </c>
      <c r="G17" s="4">
        <v>2500</v>
      </c>
      <c r="H17" s="2" t="s">
        <v>27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2033-CA49-4441-A169-977689058DDD}">
  <dimension ref="A1:J13"/>
  <sheetViews>
    <sheetView workbookViewId="0">
      <selection activeCell="D4" sqref="D4"/>
    </sheetView>
  </sheetViews>
  <sheetFormatPr defaultRowHeight="14.5"/>
  <cols>
    <col min="1" max="1" width="12.26953125" bestFit="1" customWidth="1"/>
    <col min="2" max="2" width="13.453125" bestFit="1" customWidth="1"/>
    <col min="3" max="3" width="13.1796875" bestFit="1" customWidth="1"/>
    <col min="4" max="4" width="9.81640625" bestFit="1" customWidth="1"/>
    <col min="5" max="5" width="25.90625" bestFit="1" customWidth="1"/>
    <col min="6" max="6" width="15.7265625" bestFit="1" customWidth="1"/>
    <col min="7" max="7" width="13.7265625" bestFit="1" customWidth="1"/>
    <col min="8" max="8" width="12.7265625" bestFit="1" customWidth="1"/>
    <col min="9" max="9" width="17.08984375" style="3" bestFit="1" customWidth="1"/>
    <col min="10" max="10" width="16.26953125" bestFit="1" customWidth="1"/>
  </cols>
  <sheetData>
    <row r="1" spans="1:10" s="11" customFormat="1" ht="16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0</v>
      </c>
      <c r="G1" s="13" t="s">
        <v>13</v>
      </c>
      <c r="H1" s="13" t="s">
        <v>14</v>
      </c>
      <c r="I1" s="14" t="s">
        <v>6</v>
      </c>
      <c r="J1" s="11" t="s">
        <v>15</v>
      </c>
    </row>
    <row r="2" spans="1:10">
      <c r="A2" s="2" t="s">
        <v>40</v>
      </c>
      <c r="B2" s="2" t="s">
        <v>41</v>
      </c>
      <c r="C2" s="2" t="s">
        <v>42</v>
      </c>
      <c r="D2" s="2">
        <v>551234101</v>
      </c>
      <c r="E2" s="5" t="s">
        <v>43</v>
      </c>
      <c r="F2" s="2" t="s">
        <v>16</v>
      </c>
      <c r="G2" s="6">
        <v>46023</v>
      </c>
      <c r="H2" s="6">
        <v>46387</v>
      </c>
      <c r="I2" s="15">
        <f>_xlfn.XLOOKUP(Table2[[#This Row],[Apartment_ID]],Table1[Apartment_ID],Table1[Monthly_Rent],"")</f>
        <v>1800</v>
      </c>
      <c r="J2" s="2" t="s">
        <v>44</v>
      </c>
    </row>
    <row r="3" spans="1:10">
      <c r="A3" s="2" t="s">
        <v>45</v>
      </c>
      <c r="B3" s="2" t="s">
        <v>46</v>
      </c>
      <c r="C3" s="2" t="s">
        <v>47</v>
      </c>
      <c r="D3" s="2">
        <v>551234102</v>
      </c>
      <c r="E3" s="5" t="s">
        <v>48</v>
      </c>
      <c r="F3" s="2" t="s">
        <v>17</v>
      </c>
      <c r="G3" s="6">
        <v>46082</v>
      </c>
      <c r="H3" s="6">
        <v>46446</v>
      </c>
      <c r="I3" s="15">
        <f>_xlfn.XLOOKUP(Table2[[#This Row],[Apartment_ID]],Table1[Apartment_ID],Table1[Monthly_Rent],"")</f>
        <v>2300</v>
      </c>
      <c r="J3" s="2" t="s">
        <v>44</v>
      </c>
    </row>
    <row r="4" spans="1:10">
      <c r="A4" s="2" t="s">
        <v>49</v>
      </c>
      <c r="B4" s="2" t="s">
        <v>50</v>
      </c>
      <c r="C4" s="2" t="s">
        <v>51</v>
      </c>
      <c r="D4" s="2">
        <v>551234103</v>
      </c>
      <c r="E4" s="5" t="s">
        <v>52</v>
      </c>
      <c r="F4" s="2" t="s">
        <v>19</v>
      </c>
      <c r="G4" s="6">
        <v>46068</v>
      </c>
      <c r="H4" s="6">
        <v>46432</v>
      </c>
      <c r="I4" s="15">
        <f>_xlfn.XLOOKUP(Table2[[#This Row],[Apartment_ID]],Table1[Apartment_ID],Table1[Monthly_Rent],"")</f>
        <v>2400</v>
      </c>
      <c r="J4" s="2" t="s">
        <v>44</v>
      </c>
    </row>
    <row r="5" spans="1:10">
      <c r="A5" s="2" t="s">
        <v>53</v>
      </c>
      <c r="B5" s="2" t="s">
        <v>54</v>
      </c>
      <c r="C5" s="2" t="s">
        <v>55</v>
      </c>
      <c r="D5" s="2">
        <v>551234104</v>
      </c>
      <c r="E5" s="5" t="s">
        <v>56</v>
      </c>
      <c r="F5" s="2" t="s">
        <v>20</v>
      </c>
      <c r="G5" s="6">
        <v>46174</v>
      </c>
      <c r="H5" s="6">
        <v>46538</v>
      </c>
      <c r="I5" s="15">
        <f>_xlfn.XLOOKUP(Table2[[#This Row],[Apartment_ID]],Table1[Apartment_ID],Table1[Monthly_Rent],"")</f>
        <v>3200</v>
      </c>
      <c r="J5" s="2" t="s">
        <v>44</v>
      </c>
    </row>
    <row r="6" spans="1:10">
      <c r="A6" s="2" t="s">
        <v>57</v>
      </c>
      <c r="B6" s="2" t="s">
        <v>58</v>
      </c>
      <c r="C6" s="2" t="s">
        <v>59</v>
      </c>
      <c r="D6" s="2">
        <v>551234105</v>
      </c>
      <c r="E6" s="5" t="s">
        <v>60</v>
      </c>
      <c r="F6" s="2" t="s">
        <v>21</v>
      </c>
      <c r="G6" s="6">
        <v>46113</v>
      </c>
      <c r="H6" s="6">
        <v>46477</v>
      </c>
      <c r="I6" s="15">
        <f>_xlfn.XLOOKUP(Table2[[#This Row],[Apartment_ID]],Table1[Apartment_ID],Table1[Monthly_Rent],"")</f>
        <v>1900</v>
      </c>
      <c r="J6" s="2" t="s">
        <v>44</v>
      </c>
    </row>
    <row r="7" spans="1:10">
      <c r="A7" s="2" t="s">
        <v>61</v>
      </c>
      <c r="B7" s="2" t="s">
        <v>62</v>
      </c>
      <c r="C7" s="2" t="s">
        <v>63</v>
      </c>
      <c r="D7" s="2">
        <v>551234106</v>
      </c>
      <c r="E7" s="5" t="s">
        <v>64</v>
      </c>
      <c r="F7" s="2" t="s">
        <v>22</v>
      </c>
      <c r="G7" s="6">
        <v>45901</v>
      </c>
      <c r="H7" s="6">
        <v>46265</v>
      </c>
      <c r="I7" s="15">
        <f>_xlfn.XLOOKUP(Table2[[#This Row],[Apartment_ID]],Table1[Apartment_ID],Table1[Monthly_Rent],"")</f>
        <v>4100</v>
      </c>
      <c r="J7" s="2" t="s">
        <v>44</v>
      </c>
    </row>
    <row r="8" spans="1:10">
      <c r="A8" s="2" t="s">
        <v>65</v>
      </c>
      <c r="B8" s="2" t="s">
        <v>66</v>
      </c>
      <c r="C8" s="2" t="s">
        <v>67</v>
      </c>
      <c r="D8" s="2">
        <v>551234107</v>
      </c>
      <c r="E8" s="5" t="s">
        <v>68</v>
      </c>
      <c r="F8" s="2" t="s">
        <v>32</v>
      </c>
      <c r="G8" s="6">
        <v>46054</v>
      </c>
      <c r="H8" s="6">
        <v>46418</v>
      </c>
      <c r="I8" s="15">
        <f>_xlfn.XLOOKUP(Table2[[#This Row],[Apartment_ID]],Table1[Apartment_ID],Table1[Monthly_Rent],"")</f>
        <v>1750</v>
      </c>
      <c r="J8" s="2" t="s">
        <v>44</v>
      </c>
    </row>
    <row r="9" spans="1:10">
      <c r="A9" s="2" t="s">
        <v>69</v>
      </c>
      <c r="B9" s="2" t="s">
        <v>70</v>
      </c>
      <c r="C9" s="2" t="s">
        <v>71</v>
      </c>
      <c r="D9" s="2">
        <v>551234108</v>
      </c>
      <c r="E9" s="5" t="s">
        <v>72</v>
      </c>
      <c r="F9" s="2" t="s">
        <v>34</v>
      </c>
      <c r="G9" s="6">
        <v>46143</v>
      </c>
      <c r="H9" s="6">
        <v>46507</v>
      </c>
      <c r="I9" s="15">
        <f>_xlfn.XLOOKUP(Table2[[#This Row],[Apartment_ID]],Table1[Apartment_ID],Table1[Monthly_Rent],"")</f>
        <v>2250</v>
      </c>
      <c r="J9" s="2" t="s">
        <v>44</v>
      </c>
    </row>
    <row r="10" spans="1:10">
      <c r="A10" s="2" t="s">
        <v>73</v>
      </c>
      <c r="B10" s="2" t="s">
        <v>74</v>
      </c>
      <c r="C10" s="2" t="s">
        <v>75</v>
      </c>
      <c r="D10" s="2">
        <v>551234109</v>
      </c>
      <c r="E10" s="5" t="s">
        <v>76</v>
      </c>
      <c r="F10" s="2" t="s">
        <v>35</v>
      </c>
      <c r="G10" s="6">
        <v>46204</v>
      </c>
      <c r="H10" s="6">
        <v>46568</v>
      </c>
      <c r="I10" s="15">
        <f>_xlfn.XLOOKUP(Table2[[#This Row],[Apartment_ID]],Table1[Apartment_ID],Table1[Monthly_Rent],"")</f>
        <v>3000</v>
      </c>
      <c r="J10" s="2" t="s">
        <v>44</v>
      </c>
    </row>
    <row r="11" spans="1:10">
      <c r="A11" s="2" t="s">
        <v>77</v>
      </c>
      <c r="B11" s="2" t="s">
        <v>78</v>
      </c>
      <c r="C11" s="2" t="s">
        <v>79</v>
      </c>
      <c r="D11" s="2">
        <v>551234110</v>
      </c>
      <c r="E11" s="5" t="s">
        <v>80</v>
      </c>
      <c r="F11" s="2" t="s">
        <v>37</v>
      </c>
      <c r="G11" s="6">
        <v>46023</v>
      </c>
      <c r="H11" s="6">
        <v>46387</v>
      </c>
      <c r="I11" s="15">
        <f>_xlfn.XLOOKUP(Table2[[#This Row],[Apartment_ID]],Table1[Apartment_ID],Table1[Monthly_Rent],"")</f>
        <v>3150</v>
      </c>
      <c r="J11" s="2" t="s">
        <v>44</v>
      </c>
    </row>
    <row r="12" spans="1:10">
      <c r="A12" s="2" t="s">
        <v>81</v>
      </c>
      <c r="B12" s="2" t="s">
        <v>82</v>
      </c>
      <c r="C12" s="2" t="s">
        <v>83</v>
      </c>
      <c r="D12" s="2">
        <v>551234111</v>
      </c>
      <c r="E12" s="5" t="s">
        <v>84</v>
      </c>
      <c r="F12" s="2" t="s">
        <v>38</v>
      </c>
      <c r="G12" s="6">
        <v>45931</v>
      </c>
      <c r="H12" s="6">
        <v>46295</v>
      </c>
      <c r="I12" s="15">
        <f>_xlfn.XLOOKUP(Table2[[#This Row],[Apartment_ID]],Table1[Apartment_ID],Table1[Monthly_Rent],"")</f>
        <v>4000</v>
      </c>
      <c r="J12" s="2" t="s">
        <v>44</v>
      </c>
    </row>
    <row r="13" spans="1:10">
      <c r="A13" s="2" t="s">
        <v>85</v>
      </c>
      <c r="B13" s="2" t="s">
        <v>86</v>
      </c>
      <c r="C13" s="2" t="s">
        <v>87</v>
      </c>
      <c r="D13" s="2">
        <v>551234112</v>
      </c>
      <c r="E13" s="5" t="s">
        <v>88</v>
      </c>
      <c r="F13" s="2" t="s">
        <v>39</v>
      </c>
      <c r="G13" s="6">
        <v>46235</v>
      </c>
      <c r="H13" s="6">
        <v>46599</v>
      </c>
      <c r="I13" s="15">
        <f>_xlfn.XLOOKUP(Table2[[#This Row],[Apartment_ID]],Table1[Apartment_ID],Table1[Monthly_Rent],"")</f>
        <v>2500</v>
      </c>
      <c r="J13" s="2" t="s">
        <v>44</v>
      </c>
    </row>
  </sheetData>
  <hyperlinks>
    <hyperlink ref="E2" r:id="rId1" display="mailto:omar.hassan@example.com" xr:uid="{18F0CDB4-0562-4B90-B0DC-DC060E10B4F1}"/>
    <hyperlink ref="E3" r:id="rId2" display="mailto:lina.ahmed@example.com" xr:uid="{CE704484-B83F-4EB6-910F-D8292E1E63BE}"/>
    <hyperlink ref="E4" r:id="rId3" display="mailto:youssef.ali@example.com" xr:uid="{E8D29927-E3CA-4B29-BE0B-27687A8FC547}"/>
    <hyperlink ref="E5" r:id="rId4" display="mailto:mariam.khalid@example.com" xr:uid="{BD93947F-69B6-4CBB-A24B-935C168020E9}"/>
    <hyperlink ref="E6" r:id="rId5" display="mailto:adam.ibrahim@example.com" xr:uid="{8F52BB81-70AD-4754-9236-E7172BC28209}"/>
    <hyperlink ref="E7" r:id="rId6" display="mailto:sara.mahmoud@example.com" xr:uid="{32760485-A614-45D8-B252-0A8C6B63B35A}"/>
    <hyperlink ref="E8" r:id="rId7" display="mailto:noor.saleh@example.com" xr:uid="{2165AE78-C05D-459A-A0D1-7FFB612EF234}"/>
    <hyperlink ref="E9" r:id="rId8" display="mailto:zain.abdullah@example.com" xr:uid="{BC860138-7921-4CE4-B845-F514D851452D}"/>
    <hyperlink ref="E10" r:id="rId9" display="mailto:huda.nasser@example.com" xr:uid="{CE3E99BC-F3E2-479B-9A7A-7240F3568246}"/>
    <hyperlink ref="E11" r:id="rId10" display="mailto:faisal.hamad@example.com" xr:uid="{5ADF1DFC-757D-4087-B034-8136316A3D5F}"/>
    <hyperlink ref="E12" r:id="rId11" display="mailto:reem.saad@example.com" xr:uid="{8961EBB7-DD0A-4A59-ABAE-628C277C2644}"/>
    <hyperlink ref="E13" r:id="rId12" display="mailto:layla.mustafa@example.com" xr:uid="{0298A705-8213-4370-8CD2-677223C896F5}"/>
  </hyperlinks>
  <pageMargins left="0.7" right="0.7" top="0.75" bottom="0.75" header="0.3" footer="0.3"/>
  <tableParts count="1"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ADB8-C33A-4E2A-B73B-4669D138532B}">
  <dimension ref="A1:K28"/>
  <sheetViews>
    <sheetView zoomScale="96" workbookViewId="0">
      <selection activeCell="J1" sqref="J1"/>
    </sheetView>
  </sheetViews>
  <sheetFormatPr defaultRowHeight="14.5"/>
  <cols>
    <col min="1" max="1" width="16.26953125" bestFit="1" customWidth="1"/>
    <col min="2" max="2" width="14.54296875" bestFit="1" customWidth="1"/>
    <col min="3" max="3" width="18" bestFit="1" customWidth="1"/>
    <col min="4" max="4" width="20.1796875" bestFit="1" customWidth="1"/>
    <col min="5" max="5" width="17" style="9" bestFit="1" customWidth="1"/>
    <col min="6" max="6" width="17.81640625" style="9" bestFit="1" customWidth="1"/>
    <col min="7" max="7" width="13.1796875" style="9" bestFit="1" customWidth="1"/>
    <col min="8" max="8" width="18.6328125" bestFit="1" customWidth="1"/>
    <col min="9" max="9" width="23.26953125" bestFit="1" customWidth="1"/>
    <col min="10" max="10" width="20.26953125" bestFit="1" customWidth="1"/>
    <col min="11" max="11" width="20.36328125" bestFit="1" customWidth="1"/>
  </cols>
  <sheetData>
    <row r="1" spans="1:11" ht="16">
      <c r="I1" s="115" t="s">
        <v>244</v>
      </c>
      <c r="J1" s="116">
        <v>5</v>
      </c>
    </row>
    <row r="4" spans="1:11" s="11" customFormat="1" ht="16">
      <c r="A4" s="10" t="s">
        <v>89</v>
      </c>
      <c r="B4" s="10" t="s">
        <v>8</v>
      </c>
      <c r="C4" s="10" t="s">
        <v>0</v>
      </c>
      <c r="D4" s="10" t="s">
        <v>90</v>
      </c>
      <c r="E4" s="12" t="s">
        <v>91</v>
      </c>
      <c r="F4" s="12" t="s">
        <v>92</v>
      </c>
      <c r="G4" s="12" t="s">
        <v>242</v>
      </c>
      <c r="H4" s="10" t="s">
        <v>93</v>
      </c>
      <c r="I4" s="10" t="s">
        <v>94</v>
      </c>
      <c r="J4" s="10" t="s">
        <v>95</v>
      </c>
      <c r="K4" s="10" t="s">
        <v>243</v>
      </c>
    </row>
    <row r="5" spans="1:11">
      <c r="A5" s="2" t="s">
        <v>96</v>
      </c>
      <c r="B5" s="2" t="s">
        <v>40</v>
      </c>
      <c r="C5" s="2" t="str">
        <f>_xlfn.XLOOKUP(Table3[[#This Row],[Tenant_ID]],Table2[Tenant_ID],Table2[Apartment_ID],"")</f>
        <v>A001</v>
      </c>
      <c r="D5" s="7">
        <v>46204</v>
      </c>
      <c r="E5" s="8">
        <f>_xlfn.XLOOKUP(Table3[[#This Row],[Tenant_ID]],Table2[Tenant_ID],Table2[Monthly_Rent],"")</f>
        <v>1800</v>
      </c>
      <c r="F5" s="8">
        <v>1800</v>
      </c>
      <c r="G5" s="16">
        <f>MAX(Table3[[#This Row],[Due_Amount]]-Table3[[#This Row],[Paid_Amount]],0)</f>
        <v>0</v>
      </c>
      <c r="H5" s="6">
        <v>46206</v>
      </c>
      <c r="I5" s="2" t="s">
        <v>97</v>
      </c>
      <c r="J5" s="2" t="str">
        <f>IF(Table3[[#This Row],[Paid_Amount]]=0,"Unpaid",IF(Table3[[#This Row],[Paid_Amount]]&lt;Table3[[#This Row],[Due_Amount]],"Partial","Paid"))</f>
        <v>Paid</v>
      </c>
      <c r="K5" s="2" t="str">
        <f>IF(Table3[[#This Row],[Paid_Amount]]=0,"Not Paid",IF(DAY(Table3[[#This Row],[Payment_Date]])&lt;=$J$1,"On-time","Late"))</f>
        <v>On-time</v>
      </c>
    </row>
    <row r="6" spans="1:11">
      <c r="A6" s="2" t="s">
        <v>98</v>
      </c>
      <c r="B6" s="2" t="s">
        <v>45</v>
      </c>
      <c r="C6" s="2" t="str">
        <f>_xlfn.XLOOKUP(Table3[[#This Row],[Tenant_ID]],Table2[Tenant_ID],Table2[Apartment_ID],"")</f>
        <v>A002</v>
      </c>
      <c r="D6" s="7">
        <v>46204</v>
      </c>
      <c r="E6" s="8">
        <f>_xlfn.XLOOKUP(Table3[[#This Row],[Tenant_ID]],Table2[Tenant_ID],Table2[Monthly_Rent],"")</f>
        <v>2300</v>
      </c>
      <c r="F6" s="8">
        <v>2300</v>
      </c>
      <c r="G6" s="16">
        <f>MAX(Table3[[#This Row],[Due_Amount]]-Table3[[#This Row],[Paid_Amount]],0)</f>
        <v>0</v>
      </c>
      <c r="H6" s="6">
        <v>46205</v>
      </c>
      <c r="I6" s="2" t="s">
        <v>97</v>
      </c>
      <c r="J6" s="2" t="str">
        <f>IF(Table3[[#This Row],[Paid_Amount]]=0,"Unpaid",IF(Table3[[#This Row],[Paid_Amount]]&lt;Table3[[#This Row],[Due_Amount]],"Partial","Paid"))</f>
        <v>Paid</v>
      </c>
      <c r="K6" s="2" t="str">
        <f>IF(Table3[[#This Row],[Paid_Amount]]=0,"Not Paid",IF(DAY(Table3[[#This Row],[Payment_Date]])&lt;=$J$1,"On-time","Late"))</f>
        <v>On-time</v>
      </c>
    </row>
    <row r="7" spans="1:11">
      <c r="A7" s="2" t="s">
        <v>99</v>
      </c>
      <c r="B7" s="2" t="s">
        <v>49</v>
      </c>
      <c r="C7" s="2" t="str">
        <f>_xlfn.XLOOKUP(Table3[[#This Row],[Tenant_ID]],Table2[Tenant_ID],Table2[Apartment_ID],"")</f>
        <v>A004</v>
      </c>
      <c r="D7" s="7">
        <v>46204</v>
      </c>
      <c r="E7" s="8">
        <f>_xlfn.XLOOKUP(Table3[[#This Row],[Tenant_ID]],Table2[Tenant_ID],Table2[Monthly_Rent],"")</f>
        <v>2400</v>
      </c>
      <c r="F7" s="8">
        <v>2400</v>
      </c>
      <c r="G7" s="16">
        <f>MAX(Table3[[#This Row],[Due_Amount]]-Table3[[#This Row],[Paid_Amount]],0)</f>
        <v>0</v>
      </c>
      <c r="H7" s="6">
        <v>46210</v>
      </c>
      <c r="I7" s="2" t="s">
        <v>100</v>
      </c>
      <c r="J7" s="2" t="str">
        <f>IF(Table3[[#This Row],[Paid_Amount]]=0,"Unpaid",IF(Table3[[#This Row],[Paid_Amount]]&lt;Table3[[#This Row],[Due_Amount]],"Partial","Paid"))</f>
        <v>Paid</v>
      </c>
      <c r="K7" s="2" t="str">
        <f>IF(Table3[[#This Row],[Paid_Amount]]=0,"Not Paid",IF(DAY(Table3[[#This Row],[Payment_Date]])&lt;=$J$1,"On-time","Late"))</f>
        <v>Late</v>
      </c>
    </row>
    <row r="8" spans="1:11">
      <c r="A8" s="2" t="s">
        <v>101</v>
      </c>
      <c r="B8" s="2" t="s">
        <v>53</v>
      </c>
      <c r="C8" s="2" t="str">
        <f>_xlfn.XLOOKUP(Table3[[#This Row],[Tenant_ID]],Table2[Tenant_ID],Table2[Apartment_ID],"")</f>
        <v>A005</v>
      </c>
      <c r="D8" s="7">
        <v>46204</v>
      </c>
      <c r="E8" s="8">
        <f>_xlfn.XLOOKUP(Table3[[#This Row],[Tenant_ID]],Table2[Tenant_ID],Table2[Monthly_Rent],"")</f>
        <v>3200</v>
      </c>
      <c r="F8" s="8">
        <v>3200</v>
      </c>
      <c r="G8" s="16">
        <f>MAX(Table3[[#This Row],[Due_Amount]]-Table3[[#This Row],[Paid_Amount]],0)</f>
        <v>0</v>
      </c>
      <c r="H8" s="6">
        <v>46208</v>
      </c>
      <c r="I8" s="2" t="s">
        <v>102</v>
      </c>
      <c r="J8" s="2" t="str">
        <f>IF(Table3[[#This Row],[Paid_Amount]]=0,"Unpaid",IF(Table3[[#This Row],[Paid_Amount]]&lt;Table3[[#This Row],[Due_Amount]],"Partial","Paid"))</f>
        <v>Paid</v>
      </c>
      <c r="K8" s="2" t="str">
        <f>IF(Table3[[#This Row],[Paid_Amount]]=0,"Not Paid",IF(DAY(Table3[[#This Row],[Payment_Date]])&lt;=$J$1,"On-time","Late"))</f>
        <v>On-time</v>
      </c>
    </row>
    <row r="9" spans="1:11">
      <c r="A9" s="2" t="s">
        <v>103</v>
      </c>
      <c r="B9" s="2" t="s">
        <v>57</v>
      </c>
      <c r="C9" s="2" t="str">
        <f>_xlfn.XLOOKUP(Table3[[#This Row],[Tenant_ID]],Table2[Tenant_ID],Table2[Apartment_ID],"")</f>
        <v>A006</v>
      </c>
      <c r="D9" s="7">
        <v>46204</v>
      </c>
      <c r="E9" s="8">
        <f>_xlfn.XLOOKUP(Table3[[#This Row],[Tenant_ID]],Table2[Tenant_ID],Table2[Monthly_Rent],"")</f>
        <v>1900</v>
      </c>
      <c r="F9" s="8">
        <v>1900</v>
      </c>
      <c r="G9" s="16">
        <f>MAX(Table3[[#This Row],[Due_Amount]]-Table3[[#This Row],[Paid_Amount]],0)</f>
        <v>0</v>
      </c>
      <c r="H9" s="6">
        <v>46215</v>
      </c>
      <c r="I9" s="2" t="s">
        <v>97</v>
      </c>
      <c r="J9" s="2" t="str">
        <f>IF(Table3[[#This Row],[Paid_Amount]]=0,"Unpaid",IF(Table3[[#This Row],[Paid_Amount]]&lt;Table3[[#This Row],[Due_Amount]],"Partial","Paid"))</f>
        <v>Paid</v>
      </c>
      <c r="K9" s="2" t="str">
        <f>IF(Table3[[#This Row],[Paid_Amount]]=0,"Not Paid",IF(DAY(Table3[[#This Row],[Payment_Date]])&lt;=$J$1,"On-time","Late"))</f>
        <v>Late</v>
      </c>
    </row>
    <row r="10" spans="1:11">
      <c r="A10" s="2" t="s">
        <v>104</v>
      </c>
      <c r="B10" s="2" t="s">
        <v>61</v>
      </c>
      <c r="C10" s="2" t="str">
        <f>_xlfn.XLOOKUP(Table3[[#This Row],[Tenant_ID]],Table2[Tenant_ID],Table2[Apartment_ID],"")</f>
        <v>A007</v>
      </c>
      <c r="D10" s="7">
        <v>46204</v>
      </c>
      <c r="E10" s="8">
        <f>_xlfn.XLOOKUP(Table3[[#This Row],[Tenant_ID]],Table2[Tenant_ID],Table2[Monthly_Rent],"")</f>
        <v>4100</v>
      </c>
      <c r="F10" s="8">
        <v>4100</v>
      </c>
      <c r="G10" s="16">
        <f>MAX(Table3[[#This Row],[Due_Amount]]-Table3[[#This Row],[Paid_Amount]],0)</f>
        <v>0</v>
      </c>
      <c r="H10" s="6">
        <v>46204</v>
      </c>
      <c r="I10" s="2" t="s">
        <v>97</v>
      </c>
      <c r="J10" s="2" t="str">
        <f>IF(Table3[[#This Row],[Paid_Amount]]=0,"Unpaid",IF(Table3[[#This Row],[Paid_Amount]]&lt;Table3[[#This Row],[Due_Amount]],"Partial","Paid"))</f>
        <v>Paid</v>
      </c>
      <c r="K10" s="2" t="str">
        <f>IF(Table3[[#This Row],[Paid_Amount]]=0,"Not Paid",IF(DAY(Table3[[#This Row],[Payment_Date]])&lt;=$J$1,"On-time","Late"))</f>
        <v>On-time</v>
      </c>
    </row>
    <row r="11" spans="1:11">
      <c r="A11" s="2" t="s">
        <v>105</v>
      </c>
      <c r="B11" s="2" t="s">
        <v>65</v>
      </c>
      <c r="C11" s="2" t="str">
        <f>_xlfn.XLOOKUP(Table3[[#This Row],[Tenant_ID]],Table2[Tenant_ID],Table2[Apartment_ID],"")</f>
        <v>B001</v>
      </c>
      <c r="D11" s="7">
        <v>46204</v>
      </c>
      <c r="E11" s="8">
        <f>_xlfn.XLOOKUP(Table3[[#This Row],[Tenant_ID]],Table2[Tenant_ID],Table2[Monthly_Rent],"")</f>
        <v>1750</v>
      </c>
      <c r="F11" s="8">
        <v>1750</v>
      </c>
      <c r="G11" s="16">
        <f>MAX(Table3[[#This Row],[Due_Amount]]-Table3[[#This Row],[Paid_Amount]],0)</f>
        <v>0</v>
      </c>
      <c r="H11" s="6">
        <v>46206</v>
      </c>
      <c r="I11" s="2" t="s">
        <v>100</v>
      </c>
      <c r="J11" s="2" t="str">
        <f>IF(Table3[[#This Row],[Paid_Amount]]=0,"Unpaid",IF(Table3[[#This Row],[Paid_Amount]]&lt;Table3[[#This Row],[Due_Amount]],"Partial","Paid"))</f>
        <v>Paid</v>
      </c>
      <c r="K11" s="2" t="str">
        <f>IF(Table3[[#This Row],[Paid_Amount]]=0,"Not Paid",IF(DAY(Table3[[#This Row],[Payment_Date]])&lt;=$J$1,"On-time","Late"))</f>
        <v>On-time</v>
      </c>
    </row>
    <row r="12" spans="1:11">
      <c r="A12" s="2" t="s">
        <v>106</v>
      </c>
      <c r="B12" s="2" t="s">
        <v>69</v>
      </c>
      <c r="C12" s="2" t="str">
        <f>_xlfn.XLOOKUP(Table3[[#This Row],[Tenant_ID]],Table2[Tenant_ID],Table2[Apartment_ID],"")</f>
        <v>B002</v>
      </c>
      <c r="D12" s="7">
        <v>46204</v>
      </c>
      <c r="E12" s="8">
        <f>_xlfn.XLOOKUP(Table3[[#This Row],[Tenant_ID]],Table2[Tenant_ID],Table2[Monthly_Rent],"")</f>
        <v>2250</v>
      </c>
      <c r="F12" s="8">
        <v>2250</v>
      </c>
      <c r="G12" s="16">
        <f>MAX(Table3[[#This Row],[Due_Amount]]-Table3[[#This Row],[Paid_Amount]],0)</f>
        <v>0</v>
      </c>
      <c r="H12" s="6">
        <v>46209</v>
      </c>
      <c r="I12" s="2" t="s">
        <v>102</v>
      </c>
      <c r="J12" s="2" t="str">
        <f>IF(Table3[[#This Row],[Paid_Amount]]=0,"Unpaid",IF(Table3[[#This Row],[Paid_Amount]]&lt;Table3[[#This Row],[Due_Amount]],"Partial","Paid"))</f>
        <v>Paid</v>
      </c>
      <c r="K12" s="2" t="str">
        <f>IF(Table3[[#This Row],[Paid_Amount]]=0,"Not Paid",IF(DAY(Table3[[#This Row],[Payment_Date]])&lt;=$J$1,"On-time","Late"))</f>
        <v>Late</v>
      </c>
    </row>
    <row r="13" spans="1:11">
      <c r="A13" s="2" t="s">
        <v>107</v>
      </c>
      <c r="B13" s="2" t="s">
        <v>73</v>
      </c>
      <c r="C13" s="2" t="str">
        <f>_xlfn.XLOOKUP(Table3[[#This Row],[Tenant_ID]],Table2[Tenant_ID],Table2[Apartment_ID],"")</f>
        <v>B003</v>
      </c>
      <c r="D13" s="7">
        <v>46204</v>
      </c>
      <c r="E13" s="8">
        <f>_xlfn.XLOOKUP(Table3[[#This Row],[Tenant_ID]],Table2[Tenant_ID],Table2[Monthly_Rent],"")</f>
        <v>3000</v>
      </c>
      <c r="F13" s="8">
        <v>3000</v>
      </c>
      <c r="G13" s="16">
        <f>MAX(Table3[[#This Row],[Due_Amount]]-Table3[[#This Row],[Paid_Amount]],0)</f>
        <v>0</v>
      </c>
      <c r="H13" s="6">
        <v>46207</v>
      </c>
      <c r="I13" s="2" t="s">
        <v>97</v>
      </c>
      <c r="J13" s="2" t="str">
        <f>IF(Table3[[#This Row],[Paid_Amount]]=0,"Unpaid",IF(Table3[[#This Row],[Paid_Amount]]&lt;Table3[[#This Row],[Due_Amount]],"Partial","Paid"))</f>
        <v>Paid</v>
      </c>
      <c r="K13" s="2" t="str">
        <f>IF(Table3[[#This Row],[Paid_Amount]]=0,"Not Paid",IF(DAY(Table3[[#This Row],[Payment_Date]])&lt;=$J$1,"On-time","Late"))</f>
        <v>On-time</v>
      </c>
    </row>
    <row r="14" spans="1:11">
      <c r="A14" s="2" t="s">
        <v>108</v>
      </c>
      <c r="B14" s="2" t="s">
        <v>77</v>
      </c>
      <c r="C14" s="2" t="str">
        <f>_xlfn.XLOOKUP(Table3[[#This Row],[Tenant_ID]],Table2[Tenant_ID],Table2[Apartment_ID],"")</f>
        <v>B005</v>
      </c>
      <c r="D14" s="7">
        <v>46204</v>
      </c>
      <c r="E14" s="8">
        <f>_xlfn.XLOOKUP(Table3[[#This Row],[Tenant_ID]],Table2[Tenant_ID],Table2[Monthly_Rent],"")</f>
        <v>3150</v>
      </c>
      <c r="F14" s="8">
        <v>2500</v>
      </c>
      <c r="G14" s="16">
        <f>MAX(Table3[[#This Row],[Due_Amount]]-Table3[[#This Row],[Paid_Amount]],0)</f>
        <v>650</v>
      </c>
      <c r="H14" s="6">
        <v>46218</v>
      </c>
      <c r="I14" s="2" t="s">
        <v>100</v>
      </c>
      <c r="J14" s="2" t="str">
        <f>IF(Table3[[#This Row],[Paid_Amount]]=0,"Unpaid",IF(Table3[[#This Row],[Paid_Amount]]&lt;Table3[[#This Row],[Due_Amount]],"Partial","Paid"))</f>
        <v>Partial</v>
      </c>
      <c r="K14" s="2" t="str">
        <f>IF(Table3[[#This Row],[Paid_Amount]]=0,"Not Paid",IF(DAY(Table3[[#This Row],[Payment_Date]])&lt;=$J$1,"On-time","Late"))</f>
        <v>Late</v>
      </c>
    </row>
    <row r="15" spans="1:11">
      <c r="A15" s="2" t="s">
        <v>109</v>
      </c>
      <c r="B15" s="2" t="s">
        <v>81</v>
      </c>
      <c r="C15" s="2" t="str">
        <f>_xlfn.XLOOKUP(Table3[[#This Row],[Tenant_ID]],Table2[Tenant_ID],Table2[Apartment_ID],"")</f>
        <v>B006</v>
      </c>
      <c r="D15" s="7">
        <v>46204</v>
      </c>
      <c r="E15" s="8">
        <f>_xlfn.XLOOKUP(Table3[[#This Row],[Tenant_ID]],Table2[Tenant_ID],Table2[Monthly_Rent],"")</f>
        <v>4000</v>
      </c>
      <c r="F15" s="8">
        <v>4000</v>
      </c>
      <c r="G15" s="16">
        <f>MAX(Table3[[#This Row],[Due_Amount]]-Table3[[#This Row],[Paid_Amount]],0)</f>
        <v>0</v>
      </c>
      <c r="H15" s="6">
        <v>46205</v>
      </c>
      <c r="I15" s="2" t="s">
        <v>97</v>
      </c>
      <c r="J15" s="2" t="str">
        <f>IF(Table3[[#This Row],[Paid_Amount]]=0,"Unpaid",IF(Table3[[#This Row],[Paid_Amount]]&lt;Table3[[#This Row],[Due_Amount]],"Partial","Paid"))</f>
        <v>Paid</v>
      </c>
      <c r="K15" s="2" t="str">
        <f>IF(Table3[[#This Row],[Paid_Amount]]=0,"Not Paid",IF(DAY(Table3[[#This Row],[Payment_Date]])&lt;=$J$1,"On-time","Late"))</f>
        <v>On-time</v>
      </c>
    </row>
    <row r="16" spans="1:11">
      <c r="A16" s="2" t="s">
        <v>110</v>
      </c>
      <c r="B16" s="2" t="s">
        <v>85</v>
      </c>
      <c r="C16" s="2" t="str">
        <f>_xlfn.XLOOKUP(Table3[[#This Row],[Tenant_ID]],Table2[Tenant_ID],Table2[Apartment_ID],"")</f>
        <v>B007</v>
      </c>
      <c r="D16" s="7">
        <v>46235</v>
      </c>
      <c r="E16" s="8">
        <f>_xlfn.XLOOKUP(Table3[[#This Row],[Tenant_ID]],Table2[Tenant_ID],Table2[Monthly_Rent],"")</f>
        <v>2500</v>
      </c>
      <c r="F16" s="8">
        <v>2500</v>
      </c>
      <c r="G16" s="16">
        <f>MAX(Table3[[#This Row],[Due_Amount]]-Table3[[#This Row],[Paid_Amount]],0)</f>
        <v>0</v>
      </c>
      <c r="H16" s="6">
        <v>46237</v>
      </c>
      <c r="I16" s="2" t="s">
        <v>102</v>
      </c>
      <c r="J16" s="2" t="str">
        <f>IF(Table3[[#This Row],[Paid_Amount]]=0,"Unpaid",IF(Table3[[#This Row],[Paid_Amount]]&lt;Table3[[#This Row],[Due_Amount]],"Partial","Paid"))</f>
        <v>Paid</v>
      </c>
      <c r="K16" s="2" t="str">
        <f>IF(Table3[[#This Row],[Paid_Amount]]=0,"Not Paid",IF(DAY(Table3[[#This Row],[Payment_Date]])&lt;=$J$1,"On-time","Late"))</f>
        <v>On-time</v>
      </c>
    </row>
    <row r="17" spans="1:11">
      <c r="A17" s="2" t="s">
        <v>111</v>
      </c>
      <c r="B17" s="2" t="s">
        <v>40</v>
      </c>
      <c r="C17" s="2" t="str">
        <f>_xlfn.XLOOKUP(Table3[[#This Row],[Tenant_ID]],Table2[Tenant_ID],Table2[Apartment_ID],"")</f>
        <v>A001</v>
      </c>
      <c r="D17" s="7">
        <v>46235</v>
      </c>
      <c r="E17" s="8">
        <f>_xlfn.XLOOKUP(Table3[[#This Row],[Tenant_ID]],Table2[Tenant_ID],Table2[Monthly_Rent],"")</f>
        <v>1800</v>
      </c>
      <c r="F17" s="8">
        <v>1800</v>
      </c>
      <c r="G17" s="16">
        <f>MAX(Table3[[#This Row],[Due_Amount]]-Table3[[#This Row],[Paid_Amount]],0)</f>
        <v>0</v>
      </c>
      <c r="H17" s="6">
        <v>46236</v>
      </c>
      <c r="I17" s="2" t="s">
        <v>97</v>
      </c>
      <c r="J17" s="2" t="str">
        <f>IF(Table3[[#This Row],[Paid_Amount]]=0,"Unpaid",IF(Table3[[#This Row],[Paid_Amount]]&lt;Table3[[#This Row],[Due_Amount]],"Partial","Paid"))</f>
        <v>Paid</v>
      </c>
      <c r="K17" s="2" t="str">
        <f>IF(Table3[[#This Row],[Paid_Amount]]=0,"Not Paid",IF(DAY(Table3[[#This Row],[Payment_Date]])&lt;=$J$1,"On-time","Late"))</f>
        <v>On-time</v>
      </c>
    </row>
    <row r="18" spans="1:11">
      <c r="A18" s="2" t="s">
        <v>112</v>
      </c>
      <c r="B18" s="2" t="s">
        <v>45</v>
      </c>
      <c r="C18" s="2" t="str">
        <f>_xlfn.XLOOKUP(Table3[[#This Row],[Tenant_ID]],Table2[Tenant_ID],Table2[Apartment_ID],"")</f>
        <v>A002</v>
      </c>
      <c r="D18" s="7">
        <v>46235</v>
      </c>
      <c r="E18" s="8">
        <f>_xlfn.XLOOKUP(Table3[[#This Row],[Tenant_ID]],Table2[Tenant_ID],Table2[Monthly_Rent],"")</f>
        <v>2300</v>
      </c>
      <c r="F18" s="8">
        <v>2300</v>
      </c>
      <c r="G18" s="16">
        <f>MAX(Table3[[#This Row],[Due_Amount]]-Table3[[#This Row],[Paid_Amount]],0)</f>
        <v>0</v>
      </c>
      <c r="H18" s="6">
        <v>46238</v>
      </c>
      <c r="I18" s="2" t="s">
        <v>97</v>
      </c>
      <c r="J18" s="2" t="str">
        <f>IF(Table3[[#This Row],[Paid_Amount]]=0,"Unpaid",IF(Table3[[#This Row],[Paid_Amount]]&lt;Table3[[#This Row],[Due_Amount]],"Partial","Paid"))</f>
        <v>Paid</v>
      </c>
      <c r="K18" s="2" t="str">
        <f>IF(Table3[[#This Row],[Paid_Amount]]=0,"Not Paid",IF(DAY(Table3[[#This Row],[Payment_Date]])&lt;=$J$1,"On-time","Late"))</f>
        <v>On-time</v>
      </c>
    </row>
    <row r="19" spans="1:11">
      <c r="A19" s="2" t="s">
        <v>113</v>
      </c>
      <c r="B19" s="2" t="s">
        <v>49</v>
      </c>
      <c r="C19" s="2" t="str">
        <f>_xlfn.XLOOKUP(Table3[[#This Row],[Tenant_ID]],Table2[Tenant_ID],Table2[Apartment_ID],"")</f>
        <v>A004</v>
      </c>
      <c r="D19" s="7">
        <v>46235</v>
      </c>
      <c r="E19" s="8">
        <f>_xlfn.XLOOKUP(Table3[[#This Row],[Tenant_ID]],Table2[Tenant_ID],Table2[Monthly_Rent],"")</f>
        <v>2400</v>
      </c>
      <c r="F19" s="8">
        <v>2000</v>
      </c>
      <c r="G19" s="16">
        <f>MAX(Table3[[#This Row],[Due_Amount]]-Table3[[#This Row],[Paid_Amount]],0)</f>
        <v>400</v>
      </c>
      <c r="H19" s="6">
        <v>46242</v>
      </c>
      <c r="I19" s="2" t="s">
        <v>100</v>
      </c>
      <c r="J19" s="2" t="str">
        <f>IF(Table3[[#This Row],[Paid_Amount]]=0,"Unpaid",IF(Table3[[#This Row],[Paid_Amount]]&lt;Table3[[#This Row],[Due_Amount]],"Partial","Paid"))</f>
        <v>Partial</v>
      </c>
      <c r="K19" s="2" t="str">
        <f>IF(Table3[[#This Row],[Paid_Amount]]=0,"Not Paid",IF(DAY(Table3[[#This Row],[Payment_Date]])&lt;=$J$1,"On-time","Late"))</f>
        <v>Late</v>
      </c>
    </row>
    <row r="20" spans="1:11">
      <c r="A20" s="2" t="s">
        <v>114</v>
      </c>
      <c r="B20" s="2" t="s">
        <v>53</v>
      </c>
      <c r="C20" s="2" t="str">
        <f>_xlfn.XLOOKUP(Table3[[#This Row],[Tenant_ID]],Table2[Tenant_ID],Table2[Apartment_ID],"")</f>
        <v>A005</v>
      </c>
      <c r="D20" s="7">
        <v>46235</v>
      </c>
      <c r="E20" s="8">
        <f>_xlfn.XLOOKUP(Table3[[#This Row],[Tenant_ID]],Table2[Tenant_ID],Table2[Monthly_Rent],"")</f>
        <v>3200</v>
      </c>
      <c r="F20" s="8">
        <v>3200</v>
      </c>
      <c r="G20" s="16">
        <f>MAX(Table3[[#This Row],[Due_Amount]]-Table3[[#This Row],[Paid_Amount]],0)</f>
        <v>0</v>
      </c>
      <c r="H20" s="6">
        <v>46237</v>
      </c>
      <c r="I20" s="2" t="s">
        <v>102</v>
      </c>
      <c r="J20" s="2" t="str">
        <f>IF(Table3[[#This Row],[Paid_Amount]]=0,"Unpaid",IF(Table3[[#This Row],[Paid_Amount]]&lt;Table3[[#This Row],[Due_Amount]],"Partial","Paid"))</f>
        <v>Paid</v>
      </c>
      <c r="K20" s="2" t="str">
        <f>IF(Table3[[#This Row],[Paid_Amount]]=0,"Not Paid",IF(DAY(Table3[[#This Row],[Payment_Date]])&lt;=$J$1,"On-time","Late"))</f>
        <v>On-time</v>
      </c>
    </row>
    <row r="21" spans="1:11">
      <c r="A21" s="2" t="s">
        <v>115</v>
      </c>
      <c r="B21" s="2" t="s">
        <v>57</v>
      </c>
      <c r="C21" s="2" t="str">
        <f>_xlfn.XLOOKUP(Table3[[#This Row],[Tenant_ID]],Table2[Tenant_ID],Table2[Apartment_ID],"")</f>
        <v>A006</v>
      </c>
      <c r="D21" s="7">
        <v>46235</v>
      </c>
      <c r="E21" s="8">
        <f>_xlfn.XLOOKUP(Table3[[#This Row],[Tenant_ID]],Table2[Tenant_ID],Table2[Monthly_Rent],"")</f>
        <v>1900</v>
      </c>
      <c r="F21" s="8">
        <v>1900</v>
      </c>
      <c r="G21" s="16">
        <f>MAX(Table3[[#This Row],[Due_Amount]]-Table3[[#This Row],[Paid_Amount]],0)</f>
        <v>0</v>
      </c>
      <c r="H21" s="6">
        <v>46250</v>
      </c>
      <c r="I21" s="2" t="s">
        <v>97</v>
      </c>
      <c r="J21" s="2" t="str">
        <f>IF(Table3[[#This Row],[Paid_Amount]]=0,"Unpaid",IF(Table3[[#This Row],[Paid_Amount]]&lt;Table3[[#This Row],[Due_Amount]],"Partial","Paid"))</f>
        <v>Paid</v>
      </c>
      <c r="K21" s="2" t="str">
        <f>IF(Table3[[#This Row],[Paid_Amount]]=0,"Not Paid",IF(DAY(Table3[[#This Row],[Payment_Date]])&lt;=$J$1,"On-time","Late"))</f>
        <v>Late</v>
      </c>
    </row>
    <row r="22" spans="1:11">
      <c r="A22" s="2" t="s">
        <v>116</v>
      </c>
      <c r="B22" s="2" t="s">
        <v>61</v>
      </c>
      <c r="C22" s="2" t="str">
        <f>_xlfn.XLOOKUP(Table3[[#This Row],[Tenant_ID]],Table2[Tenant_ID],Table2[Apartment_ID],"")</f>
        <v>A007</v>
      </c>
      <c r="D22" s="7">
        <v>46235</v>
      </c>
      <c r="E22" s="8">
        <f>_xlfn.XLOOKUP(Table3[[#This Row],[Tenant_ID]],Table2[Tenant_ID],Table2[Monthly_Rent],"")</f>
        <v>4100</v>
      </c>
      <c r="F22" s="8">
        <v>4100</v>
      </c>
      <c r="G22" s="16">
        <f>MAX(Table3[[#This Row],[Due_Amount]]-Table3[[#This Row],[Paid_Amount]],0)</f>
        <v>0</v>
      </c>
      <c r="H22" s="6">
        <v>46235</v>
      </c>
      <c r="I22" s="2" t="s">
        <v>97</v>
      </c>
      <c r="J22" s="2" t="str">
        <f>IF(Table3[[#This Row],[Paid_Amount]]=0,"Unpaid",IF(Table3[[#This Row],[Paid_Amount]]&lt;Table3[[#This Row],[Due_Amount]],"Partial","Paid"))</f>
        <v>Paid</v>
      </c>
      <c r="K22" s="2" t="str">
        <f>IF(Table3[[#This Row],[Paid_Amount]]=0,"Not Paid",IF(DAY(Table3[[#This Row],[Payment_Date]])&lt;=$J$1,"On-time","Late"))</f>
        <v>On-time</v>
      </c>
    </row>
    <row r="23" spans="1:11">
      <c r="A23" s="2" t="s">
        <v>117</v>
      </c>
      <c r="B23" s="2" t="s">
        <v>65</v>
      </c>
      <c r="C23" s="2" t="str">
        <f>_xlfn.XLOOKUP(Table3[[#This Row],[Tenant_ID]],Table2[Tenant_ID],Table2[Apartment_ID],"")</f>
        <v>B001</v>
      </c>
      <c r="D23" s="7">
        <v>46235</v>
      </c>
      <c r="E23" s="8">
        <f>_xlfn.XLOOKUP(Table3[[#This Row],[Tenant_ID]],Table2[Tenant_ID],Table2[Monthly_Rent],"")</f>
        <v>1750</v>
      </c>
      <c r="F23" s="8">
        <v>1750</v>
      </c>
      <c r="G23" s="16">
        <f>MAX(Table3[[#This Row],[Due_Amount]]-Table3[[#This Row],[Paid_Amount]],0)</f>
        <v>0</v>
      </c>
      <c r="H23" s="6">
        <v>46239</v>
      </c>
      <c r="I23" s="2" t="s">
        <v>100</v>
      </c>
      <c r="J23" s="2" t="str">
        <f>IF(Table3[[#This Row],[Paid_Amount]]=0,"Unpaid",IF(Table3[[#This Row],[Paid_Amount]]&lt;Table3[[#This Row],[Due_Amount]],"Partial","Paid"))</f>
        <v>Paid</v>
      </c>
      <c r="K23" s="2" t="str">
        <f>IF(Table3[[#This Row],[Paid_Amount]]=0,"Not Paid",IF(DAY(Table3[[#This Row],[Payment_Date]])&lt;=$J$1,"On-time","Late"))</f>
        <v>On-time</v>
      </c>
    </row>
    <row r="24" spans="1:11">
      <c r="A24" s="2" t="s">
        <v>118</v>
      </c>
      <c r="B24" s="2" t="s">
        <v>69</v>
      </c>
      <c r="C24" s="2" t="str">
        <f>_xlfn.XLOOKUP(Table3[[#This Row],[Tenant_ID]],Table2[Tenant_ID],Table2[Apartment_ID],"")</f>
        <v>B002</v>
      </c>
      <c r="D24" s="7">
        <v>46235</v>
      </c>
      <c r="E24" s="8">
        <f>_xlfn.XLOOKUP(Table3[[#This Row],[Tenant_ID]],Table2[Tenant_ID],Table2[Monthly_Rent],"")</f>
        <v>2250</v>
      </c>
      <c r="F24" s="8">
        <v>2250</v>
      </c>
      <c r="G24" s="16">
        <f>MAX(Table3[[#This Row],[Due_Amount]]-Table3[[#This Row],[Paid_Amount]],0)</f>
        <v>0</v>
      </c>
      <c r="H24" s="6">
        <v>46236</v>
      </c>
      <c r="I24" s="2" t="s">
        <v>102</v>
      </c>
      <c r="J24" s="2" t="str">
        <f>IF(Table3[[#This Row],[Paid_Amount]]=0,"Unpaid",IF(Table3[[#This Row],[Paid_Amount]]&lt;Table3[[#This Row],[Due_Amount]],"Partial","Paid"))</f>
        <v>Paid</v>
      </c>
      <c r="K24" s="2" t="str">
        <f>IF(Table3[[#This Row],[Paid_Amount]]=0,"Not Paid",IF(DAY(Table3[[#This Row],[Payment_Date]])&lt;=$J$1,"On-time","Late"))</f>
        <v>On-time</v>
      </c>
    </row>
    <row r="25" spans="1:11">
      <c r="A25" s="2" t="s">
        <v>119</v>
      </c>
      <c r="B25" s="2" t="s">
        <v>73</v>
      </c>
      <c r="C25" s="2" t="str">
        <f>_xlfn.XLOOKUP(Table3[[#This Row],[Tenant_ID]],Table2[Tenant_ID],Table2[Apartment_ID],"")</f>
        <v>B003</v>
      </c>
      <c r="D25" s="7">
        <v>46235</v>
      </c>
      <c r="E25" s="8">
        <f>_xlfn.XLOOKUP(Table3[[#This Row],[Tenant_ID]],Table2[Tenant_ID],Table2[Monthly_Rent],"")</f>
        <v>3000</v>
      </c>
      <c r="F25" s="8">
        <v>3000</v>
      </c>
      <c r="G25" s="16">
        <f>MAX(Table3[[#This Row],[Due_Amount]]-Table3[[#This Row],[Paid_Amount]],0)</f>
        <v>0</v>
      </c>
      <c r="H25" s="6">
        <v>46241</v>
      </c>
      <c r="I25" s="2" t="s">
        <v>97</v>
      </c>
      <c r="J25" s="2" t="str">
        <f>IF(Table3[[#This Row],[Paid_Amount]]=0,"Unpaid",IF(Table3[[#This Row],[Paid_Amount]]&lt;Table3[[#This Row],[Due_Amount]],"Partial","Paid"))</f>
        <v>Paid</v>
      </c>
      <c r="K25" s="2" t="str">
        <f>IF(Table3[[#This Row],[Paid_Amount]]=0,"Not Paid",IF(DAY(Table3[[#This Row],[Payment_Date]])&lt;=$J$1,"On-time","Late"))</f>
        <v>Late</v>
      </c>
    </row>
    <row r="26" spans="1:11">
      <c r="A26" s="2" t="s">
        <v>120</v>
      </c>
      <c r="B26" s="2" t="s">
        <v>77</v>
      </c>
      <c r="C26" s="2" t="str">
        <f>_xlfn.XLOOKUP(Table3[[#This Row],[Tenant_ID]],Table2[Tenant_ID],Table2[Apartment_ID],"")</f>
        <v>B005</v>
      </c>
      <c r="D26" s="7">
        <v>46235</v>
      </c>
      <c r="E26" s="8">
        <f>_xlfn.XLOOKUP(Table3[[#This Row],[Tenant_ID]],Table2[Tenant_ID],Table2[Monthly_Rent],"")</f>
        <v>3150</v>
      </c>
      <c r="F26" s="8">
        <v>3150</v>
      </c>
      <c r="G26" s="16">
        <f>MAX(Table3[[#This Row],[Due_Amount]]-Table3[[#This Row],[Paid_Amount]],0)</f>
        <v>0</v>
      </c>
      <c r="H26" s="6">
        <v>46239</v>
      </c>
      <c r="I26" s="2" t="s">
        <v>97</v>
      </c>
      <c r="J26" s="2" t="str">
        <f>IF(Table3[[#This Row],[Paid_Amount]]=0,"Unpaid",IF(Table3[[#This Row],[Paid_Amount]]&lt;Table3[[#This Row],[Due_Amount]],"Partial","Paid"))</f>
        <v>Paid</v>
      </c>
      <c r="K26" s="2" t="str">
        <f>IF(Table3[[#This Row],[Paid_Amount]]=0,"Not Paid",IF(DAY(Table3[[#This Row],[Payment_Date]])&lt;=$J$1,"On-time","Late"))</f>
        <v>On-time</v>
      </c>
    </row>
    <row r="27" spans="1:11">
      <c r="A27" s="2" t="s">
        <v>121</v>
      </c>
      <c r="B27" s="2" t="s">
        <v>81</v>
      </c>
      <c r="C27" s="2" t="str">
        <f>_xlfn.XLOOKUP(Table3[[#This Row],[Tenant_ID]],Table2[Tenant_ID],Table2[Apartment_ID],"")</f>
        <v>B006</v>
      </c>
      <c r="D27" s="7">
        <v>46235</v>
      </c>
      <c r="E27" s="8">
        <f>_xlfn.XLOOKUP(Table3[[#This Row],[Tenant_ID]],Table2[Tenant_ID],Table2[Monthly_Rent],"")</f>
        <v>4000</v>
      </c>
      <c r="F27" s="8">
        <v>3500</v>
      </c>
      <c r="G27" s="16">
        <f>MAX(Table3[[#This Row],[Due_Amount]]-Table3[[#This Row],[Paid_Amount]],0)</f>
        <v>500</v>
      </c>
      <c r="H27" s="6">
        <v>46254</v>
      </c>
      <c r="I27" s="2" t="s">
        <v>97</v>
      </c>
      <c r="J27" s="2" t="str">
        <f>IF(Table3[[#This Row],[Paid_Amount]]=0,"Unpaid",IF(Table3[[#This Row],[Paid_Amount]]&lt;Table3[[#This Row],[Due_Amount]],"Partial","Paid"))</f>
        <v>Partial</v>
      </c>
      <c r="K27" s="2" t="str">
        <f>IF(Table3[[#This Row],[Paid_Amount]]=0,"Not Paid",IF(DAY(Table3[[#This Row],[Payment_Date]])&lt;=$J$1,"On-time","Late"))</f>
        <v>Late</v>
      </c>
    </row>
    <row r="28" spans="1:11">
      <c r="D28" s="9"/>
      <c r="G28"/>
    </row>
  </sheetData>
  <dataValidations count="2">
    <dataValidation type="list" allowBlank="1" showInputMessage="1" showErrorMessage="1" sqref="I5:I27" xr:uid="{7987199F-1365-48E4-8A92-76E326CC692B}">
      <formula1>"Bank Transfer, Card, Cash"</formula1>
    </dataValidation>
    <dataValidation type="list" allowBlank="1" showInputMessage="1" showErrorMessage="1" sqref="B5:B27" xr:uid="{8C610E33-3D9A-435F-8EDD-7923A59B7412}">
      <formula1>INDIRECT("Table2[Tenant_ID]")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BCBC-44C3-4FA6-B03B-F48A13C80FD1}">
  <dimension ref="A1:L19"/>
  <sheetViews>
    <sheetView zoomScale="97" zoomScaleNormal="115" workbookViewId="0">
      <selection activeCell="E14" sqref="E14"/>
    </sheetView>
  </sheetViews>
  <sheetFormatPr defaultRowHeight="14.5"/>
  <cols>
    <col min="1" max="1" width="15.81640625" bestFit="1" customWidth="1"/>
    <col min="2" max="2" width="18" bestFit="1" customWidth="1"/>
    <col min="3" max="3" width="18.1796875" bestFit="1" customWidth="1"/>
    <col min="4" max="4" width="13.453125" bestFit="1" customWidth="1"/>
    <col min="5" max="5" width="23.1796875" bestFit="1" customWidth="1"/>
    <col min="6" max="6" width="11.90625" bestFit="1" customWidth="1"/>
    <col min="7" max="7" width="24.26953125" bestFit="1" customWidth="1"/>
    <col min="8" max="8" width="21.26953125" bestFit="1" customWidth="1"/>
    <col min="9" max="9" width="12.26953125" style="3" customWidth="1"/>
    <col min="10" max="10" width="17.7265625" bestFit="1" customWidth="1"/>
    <col min="11" max="11" width="17.81640625" bestFit="1" customWidth="1"/>
    <col min="12" max="12" width="18.6328125" bestFit="1" customWidth="1"/>
  </cols>
  <sheetData>
    <row r="1" spans="1:12" s="11" customFormat="1" ht="16">
      <c r="A1" s="10" t="s">
        <v>122</v>
      </c>
      <c r="B1" s="10" t="s">
        <v>0</v>
      </c>
      <c r="C1" s="10" t="s">
        <v>123</v>
      </c>
      <c r="D1" s="10" t="s">
        <v>124</v>
      </c>
      <c r="E1" s="10" t="s">
        <v>125</v>
      </c>
      <c r="F1" s="10" t="s">
        <v>126</v>
      </c>
      <c r="G1" s="10" t="s">
        <v>127</v>
      </c>
      <c r="H1" s="10" t="s">
        <v>128</v>
      </c>
      <c r="I1" s="12" t="s">
        <v>129</v>
      </c>
      <c r="J1" s="10" t="s">
        <v>130</v>
      </c>
      <c r="K1" s="10" t="s">
        <v>245</v>
      </c>
      <c r="L1" s="10" t="s">
        <v>246</v>
      </c>
    </row>
    <row r="2" spans="1:12">
      <c r="A2" s="2" t="s">
        <v>131</v>
      </c>
      <c r="B2" s="2" t="s">
        <v>16</v>
      </c>
      <c r="C2" s="6">
        <v>46178</v>
      </c>
      <c r="D2" s="2" t="s">
        <v>132</v>
      </c>
      <c r="E2" s="2" t="s">
        <v>133</v>
      </c>
      <c r="F2" s="2" t="s">
        <v>134</v>
      </c>
      <c r="G2" s="2" t="s">
        <v>135</v>
      </c>
      <c r="H2" s="6">
        <v>46179</v>
      </c>
      <c r="I2" s="19">
        <v>180</v>
      </c>
      <c r="J2" s="2" t="s">
        <v>136</v>
      </c>
      <c r="K2" s="17">
        <f ca="1">IF(Table4[[#This Row],[Maintenance_Status]]="Completed",Table4[[#This Row],[Completion_Date]]-Table4[[#This Row],[Request_Date]],TODAY()-Table4[[#This Row],[Request_Date]])</f>
        <v>1</v>
      </c>
      <c r="L2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3" spans="1:12">
      <c r="A3" s="2" t="s">
        <v>137</v>
      </c>
      <c r="B3" s="2" t="s">
        <v>19</v>
      </c>
      <c r="C3" s="6">
        <v>46185</v>
      </c>
      <c r="D3" s="2" t="s">
        <v>138</v>
      </c>
      <c r="E3" s="2" t="s">
        <v>139</v>
      </c>
      <c r="F3" s="2" t="s">
        <v>140</v>
      </c>
      <c r="G3" s="2" t="s">
        <v>135</v>
      </c>
      <c r="H3" s="6">
        <v>46185</v>
      </c>
      <c r="I3" s="19">
        <v>90</v>
      </c>
      <c r="J3" s="2" t="s">
        <v>141</v>
      </c>
      <c r="K3" s="17">
        <f ca="1">IF(Table4[[#This Row],[Maintenance_Status]]="Completed",Table4[[#This Row],[Completion_Date]]-Table4[[#This Row],[Request_Date]],TODAY()-Table4[[#This Row],[Request_Date]])</f>
        <v>0</v>
      </c>
      <c r="L3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4" spans="1:12">
      <c r="A4" s="2" t="s">
        <v>142</v>
      </c>
      <c r="B4" s="2" t="s">
        <v>20</v>
      </c>
      <c r="C4" s="6">
        <v>46191</v>
      </c>
      <c r="D4" s="2" t="s">
        <v>143</v>
      </c>
      <c r="E4" s="2" t="s">
        <v>144</v>
      </c>
      <c r="F4" s="2" t="s">
        <v>145</v>
      </c>
      <c r="G4" s="2" t="s">
        <v>135</v>
      </c>
      <c r="H4" s="6">
        <v>46193</v>
      </c>
      <c r="I4" s="19">
        <v>450</v>
      </c>
      <c r="J4" s="2" t="s">
        <v>146</v>
      </c>
      <c r="K4" s="17">
        <f ca="1">IF(Table4[[#This Row],[Maintenance_Status]]="Completed",Table4[[#This Row],[Completion_Date]]-Table4[[#This Row],[Request_Date]],TODAY()-Table4[[#This Row],[Request_Date]])</f>
        <v>2</v>
      </c>
      <c r="L4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5" spans="1:12">
      <c r="A5" s="2" t="s">
        <v>147</v>
      </c>
      <c r="B5" s="2" t="s">
        <v>22</v>
      </c>
      <c r="C5" s="6">
        <v>46198</v>
      </c>
      <c r="D5" s="2" t="s">
        <v>132</v>
      </c>
      <c r="E5" s="2" t="s">
        <v>148</v>
      </c>
      <c r="F5" s="2" t="s">
        <v>145</v>
      </c>
      <c r="G5" s="2" t="s">
        <v>135</v>
      </c>
      <c r="H5" s="6">
        <v>46199</v>
      </c>
      <c r="I5" s="19">
        <v>320</v>
      </c>
      <c r="J5" s="2" t="s">
        <v>136</v>
      </c>
      <c r="K5" s="17">
        <f ca="1">IF(Table4[[#This Row],[Maintenance_Status]]="Completed",Table4[[#This Row],[Completion_Date]]-Table4[[#This Row],[Request_Date]],TODAY()-Table4[[#This Row],[Request_Date]])</f>
        <v>1</v>
      </c>
      <c r="L5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6" spans="1:12">
      <c r="A6" s="2" t="s">
        <v>149</v>
      </c>
      <c r="B6" s="2" t="s">
        <v>32</v>
      </c>
      <c r="C6" s="6">
        <v>46206</v>
      </c>
      <c r="D6" s="2" t="s">
        <v>138</v>
      </c>
      <c r="E6" s="2" t="s">
        <v>150</v>
      </c>
      <c r="F6" s="2" t="s">
        <v>134</v>
      </c>
      <c r="G6" s="2" t="s">
        <v>135</v>
      </c>
      <c r="H6" s="6">
        <v>46207</v>
      </c>
      <c r="I6" s="19">
        <v>120</v>
      </c>
      <c r="J6" s="2" t="s">
        <v>141</v>
      </c>
      <c r="K6" s="17">
        <f ca="1">IF(Table4[[#This Row],[Maintenance_Status]]="Completed",Table4[[#This Row],[Completion_Date]]-Table4[[#This Row],[Request_Date]],TODAY()-Table4[[#This Row],[Request_Date]])</f>
        <v>1</v>
      </c>
      <c r="L6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7" spans="1:12">
      <c r="A7" s="2" t="s">
        <v>151</v>
      </c>
      <c r="B7" s="2" t="s">
        <v>35</v>
      </c>
      <c r="C7" s="6">
        <v>46212</v>
      </c>
      <c r="D7" s="2" t="s">
        <v>152</v>
      </c>
      <c r="E7" s="2" t="s">
        <v>153</v>
      </c>
      <c r="F7" s="2" t="s">
        <v>134</v>
      </c>
      <c r="G7" s="2" t="s">
        <v>135</v>
      </c>
      <c r="H7" s="6">
        <v>46214</v>
      </c>
      <c r="I7" s="19">
        <v>350</v>
      </c>
      <c r="J7" s="2" t="s">
        <v>154</v>
      </c>
      <c r="K7" s="17">
        <f ca="1">IF(Table4[[#This Row],[Maintenance_Status]]="Completed",Table4[[#This Row],[Completion_Date]]-Table4[[#This Row],[Request_Date]],TODAY()-Table4[[#This Row],[Request_Date]])</f>
        <v>2</v>
      </c>
      <c r="L7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8" spans="1:12">
      <c r="A8" s="2" t="s">
        <v>155</v>
      </c>
      <c r="B8" s="2" t="s">
        <v>17</v>
      </c>
      <c r="C8" s="6">
        <v>46218</v>
      </c>
      <c r="D8" s="2" t="s">
        <v>143</v>
      </c>
      <c r="E8" s="2" t="s">
        <v>156</v>
      </c>
      <c r="F8" s="2" t="s">
        <v>140</v>
      </c>
      <c r="G8" s="2" t="s">
        <v>135</v>
      </c>
      <c r="H8" s="6">
        <v>46218</v>
      </c>
      <c r="I8" s="19">
        <v>100</v>
      </c>
      <c r="J8" s="2" t="s">
        <v>146</v>
      </c>
      <c r="K8" s="17">
        <f ca="1">IF(Table4[[#This Row],[Maintenance_Status]]="Completed",Table4[[#This Row],[Completion_Date]]-Table4[[#This Row],[Request_Date]],TODAY()-Table4[[#This Row],[Request_Date]])</f>
        <v>0</v>
      </c>
      <c r="L8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9" spans="1:12">
      <c r="A9" s="2" t="s">
        <v>157</v>
      </c>
      <c r="B9" s="2" t="s">
        <v>38</v>
      </c>
      <c r="C9" s="6">
        <v>46225</v>
      </c>
      <c r="D9" s="2" t="s">
        <v>132</v>
      </c>
      <c r="E9" s="2" t="s">
        <v>158</v>
      </c>
      <c r="F9" s="2" t="s">
        <v>134</v>
      </c>
      <c r="G9" s="2" t="s">
        <v>135</v>
      </c>
      <c r="H9" s="6">
        <v>46227</v>
      </c>
      <c r="I9" s="19">
        <v>220</v>
      </c>
      <c r="J9" s="2" t="s">
        <v>136</v>
      </c>
      <c r="K9" s="17">
        <f ca="1">IF(Table4[[#This Row],[Maintenance_Status]]="Completed",Table4[[#This Row],[Completion_Date]]-Table4[[#This Row],[Request_Date]],TODAY()-Table4[[#This Row],[Request_Date]])</f>
        <v>2</v>
      </c>
      <c r="L9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10" spans="1:12">
      <c r="A10" s="2" t="s">
        <v>159</v>
      </c>
      <c r="B10" s="2" t="s">
        <v>21</v>
      </c>
      <c r="C10" s="6">
        <v>46235</v>
      </c>
      <c r="D10" s="2" t="s">
        <v>138</v>
      </c>
      <c r="E10" s="2" t="s">
        <v>160</v>
      </c>
      <c r="F10" s="2" t="s">
        <v>140</v>
      </c>
      <c r="G10" s="2" t="s">
        <v>135</v>
      </c>
      <c r="H10" s="6">
        <v>46236</v>
      </c>
      <c r="I10" s="19">
        <v>80</v>
      </c>
      <c r="J10" s="2" t="s">
        <v>141</v>
      </c>
      <c r="K10" s="17">
        <f ca="1">IF(Table4[[#This Row],[Maintenance_Status]]="Completed",Table4[[#This Row],[Completion_Date]]-Table4[[#This Row],[Request_Date]],TODAY()-Table4[[#This Row],[Request_Date]])</f>
        <v>1</v>
      </c>
      <c r="L10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11" spans="1:12">
      <c r="A11" s="2" t="s">
        <v>161</v>
      </c>
      <c r="B11" s="2" t="s">
        <v>37</v>
      </c>
      <c r="C11" s="6">
        <v>46238</v>
      </c>
      <c r="D11" s="2" t="s">
        <v>143</v>
      </c>
      <c r="E11" s="2" t="s">
        <v>162</v>
      </c>
      <c r="F11" s="2" t="s">
        <v>145</v>
      </c>
      <c r="G11" s="2" t="s">
        <v>163</v>
      </c>
      <c r="H11" s="2"/>
      <c r="I11" s="19">
        <v>275</v>
      </c>
      <c r="J11" s="2" t="s">
        <v>146</v>
      </c>
      <c r="K11" s="17">
        <f ca="1">IF(Table4[[#This Row],[Maintenance_Status]]="Completed",Table4[[#This Row],[Completion_Date]]-Table4[[#This Row],[Request_Date]],TODAY()-Table4[[#This Row],[Request_Date]])</f>
        <v>34</v>
      </c>
      <c r="L11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Urgent</v>
      </c>
    </row>
    <row r="12" spans="1:12">
      <c r="A12" s="2" t="s">
        <v>164</v>
      </c>
      <c r="B12" s="2" t="s">
        <v>22</v>
      </c>
      <c r="C12" s="6">
        <v>46242</v>
      </c>
      <c r="D12" s="2" t="s">
        <v>152</v>
      </c>
      <c r="E12" s="2" t="s">
        <v>165</v>
      </c>
      <c r="F12" s="2" t="s">
        <v>134</v>
      </c>
      <c r="G12" s="2" t="s">
        <v>166</v>
      </c>
      <c r="H12" s="2"/>
      <c r="I12" s="19">
        <v>0</v>
      </c>
      <c r="J12" s="2"/>
      <c r="K12" s="17">
        <f ca="1">IF(Table4[[#This Row],[Maintenance_Status]]="Completed",Table4[[#This Row],[Completion_Date]]-Table4[[#This Row],[Request_Date]],TODAY()-Table4[[#This Row],[Request_Date]])</f>
        <v>30</v>
      </c>
      <c r="L12" s="2" t="str">
        <f ca="1">IF(Table4[[#This Row],[Maintenance_Status]]="Completed","Closed",IF(AND(Table4[[#This Row],[Priority]]="High",Table4[[#This Row],[Maintenance_Status]]&lt;&gt;"Completed"),"Urgent",IF(Table4[[#This Row],[Days_Open]]&gt;14,"Needs Attention","Normal")))</f>
        <v>Needs Attention</v>
      </c>
    </row>
    <row r="13" spans="1:12">
      <c r="A13" s="2" t="s">
        <v>167</v>
      </c>
      <c r="B13" s="2" t="s">
        <v>34</v>
      </c>
      <c r="C13" s="6">
        <v>46245</v>
      </c>
      <c r="D13" s="2" t="s">
        <v>132</v>
      </c>
      <c r="E13" s="2" t="s">
        <v>168</v>
      </c>
      <c r="F13" s="2" t="s">
        <v>134</v>
      </c>
      <c r="G13" s="2" t="s">
        <v>135</v>
      </c>
      <c r="H13" s="6">
        <v>46246</v>
      </c>
      <c r="I13" s="19">
        <v>140</v>
      </c>
      <c r="J13" s="2" t="s">
        <v>136</v>
      </c>
      <c r="K13" s="17">
        <f ca="1">IF(Table4[[#This Row],[Maintenance_Status]]="Completed",Table4[[#This Row],[Completion_Date]]-Table4[[#This Row],[Request_Date]],TODAY()-Table4[[#This Row],[Request_Date]])</f>
        <v>1</v>
      </c>
      <c r="L13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14" spans="1:12">
      <c r="A14" s="2" t="s">
        <v>169</v>
      </c>
      <c r="B14" s="2" t="s">
        <v>18</v>
      </c>
      <c r="C14" s="6">
        <v>46248</v>
      </c>
      <c r="D14" s="2" t="s">
        <v>170</v>
      </c>
      <c r="E14" s="2" t="s">
        <v>171</v>
      </c>
      <c r="F14" s="2" t="s">
        <v>140</v>
      </c>
      <c r="G14" s="2" t="s">
        <v>163</v>
      </c>
      <c r="H14" s="2"/>
      <c r="I14" s="19">
        <v>650</v>
      </c>
      <c r="J14" s="2" t="s">
        <v>172</v>
      </c>
      <c r="K14" s="17">
        <f ca="1">IF(Table4[[#This Row],[Maintenance_Status]]="Completed",Table4[[#This Row],[Completion_Date]]-Table4[[#This Row],[Request_Date]],TODAY()-Table4[[#This Row],[Request_Date]])</f>
        <v>24</v>
      </c>
      <c r="L14" s="2" t="str">
        <f ca="1">IF(Table4[[#This Row],[Maintenance_Status]]="Completed","Closed",IF(AND(Table4[[#This Row],[Priority]]="High",Table4[[#This Row],[Maintenance_Status]]&lt;&gt;"Completed"),"Urgent",IF(Table4[[#This Row],[Days_Open]]&gt;14,"Needs Attention","Normal")))</f>
        <v>Needs Attention</v>
      </c>
    </row>
    <row r="15" spans="1:12">
      <c r="A15" s="2" t="s">
        <v>173</v>
      </c>
      <c r="B15" s="2" t="s">
        <v>36</v>
      </c>
      <c r="C15" s="6">
        <v>46253</v>
      </c>
      <c r="D15" s="2" t="s">
        <v>174</v>
      </c>
      <c r="E15" s="2" t="s">
        <v>175</v>
      </c>
      <c r="F15" s="2" t="s">
        <v>140</v>
      </c>
      <c r="G15" s="2" t="s">
        <v>135</v>
      </c>
      <c r="H15" s="6">
        <v>46254</v>
      </c>
      <c r="I15" s="19">
        <v>200</v>
      </c>
      <c r="J15" s="2" t="s">
        <v>176</v>
      </c>
      <c r="K15" s="17">
        <f ca="1">IF(Table4[[#This Row],[Maintenance_Status]]="Completed",Table4[[#This Row],[Completion_Date]]-Table4[[#This Row],[Request_Date]],TODAY()-Table4[[#This Row],[Request_Date]])</f>
        <v>1</v>
      </c>
      <c r="L15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16" spans="1:12">
      <c r="A16" s="2" t="s">
        <v>177</v>
      </c>
      <c r="B16" s="2" t="s">
        <v>23</v>
      </c>
      <c r="C16" s="6">
        <v>46257</v>
      </c>
      <c r="D16" s="2" t="s">
        <v>138</v>
      </c>
      <c r="E16" s="2" t="s">
        <v>178</v>
      </c>
      <c r="F16" s="2" t="s">
        <v>134</v>
      </c>
      <c r="G16" s="2" t="s">
        <v>166</v>
      </c>
      <c r="H16" s="2"/>
      <c r="I16" s="19">
        <v>0</v>
      </c>
      <c r="J16" s="2"/>
      <c r="K16" s="17">
        <f ca="1">IF(Table4[[#This Row],[Maintenance_Status]]="Completed",Table4[[#This Row],[Completion_Date]]-Table4[[#This Row],[Request_Date]],TODAY()-Table4[[#This Row],[Request_Date]])</f>
        <v>15</v>
      </c>
      <c r="L16" s="2" t="str">
        <f ca="1">IF(Table4[[#This Row],[Maintenance_Status]]="Completed","Closed",IF(AND(Table4[[#This Row],[Priority]]="High",Table4[[#This Row],[Maintenance_Status]]&lt;&gt;"Completed"),"Urgent",IF(Table4[[#This Row],[Days_Open]]&gt;14,"Needs Attention","Normal")))</f>
        <v>Needs Attention</v>
      </c>
    </row>
    <row r="17" spans="1:12">
      <c r="A17" s="2" t="s">
        <v>179</v>
      </c>
      <c r="B17" s="2" t="s">
        <v>39</v>
      </c>
      <c r="C17" s="6">
        <v>46260</v>
      </c>
      <c r="D17" s="2" t="s">
        <v>132</v>
      </c>
      <c r="E17" s="2" t="s">
        <v>180</v>
      </c>
      <c r="F17" s="2" t="s">
        <v>134</v>
      </c>
      <c r="G17" s="2" t="s">
        <v>163</v>
      </c>
      <c r="H17" s="2"/>
      <c r="I17" s="19">
        <v>160</v>
      </c>
      <c r="J17" s="2" t="s">
        <v>136</v>
      </c>
      <c r="K17" s="17">
        <f ca="1">IF(Table4[[#This Row],[Maintenance_Status]]="Completed",Table4[[#This Row],[Completion_Date]]-Table4[[#This Row],[Request_Date]],TODAY()-Table4[[#This Row],[Request_Date]])</f>
        <v>12</v>
      </c>
      <c r="L17" s="2" t="str">
        <f ca="1">IF(Table4[[#This Row],[Maintenance_Status]]="Completed","Closed",IF(AND(Table4[[#This Row],[Priority]]="High",Table4[[#This Row],[Maintenance_Status]]&lt;&gt;"Completed"),"Urgent",IF(Table4[[#This Row],[Days_Open]]&gt;14,"Needs Attention","Normal")))</f>
        <v>Normal</v>
      </c>
    </row>
    <row r="18" spans="1:12">
      <c r="A18" s="2" t="s">
        <v>181</v>
      </c>
      <c r="B18" s="2" t="s">
        <v>20</v>
      </c>
      <c r="C18" s="6">
        <v>46261</v>
      </c>
      <c r="D18" s="2" t="s">
        <v>143</v>
      </c>
      <c r="E18" s="2" t="s">
        <v>182</v>
      </c>
      <c r="F18" s="2" t="s">
        <v>140</v>
      </c>
      <c r="G18" s="2" t="s">
        <v>135</v>
      </c>
      <c r="H18" s="6">
        <v>46262</v>
      </c>
      <c r="I18" s="19">
        <v>120</v>
      </c>
      <c r="J18" s="2" t="s">
        <v>146</v>
      </c>
      <c r="K18" s="17">
        <f ca="1">IF(Table4[[#This Row],[Maintenance_Status]]="Completed",Table4[[#This Row],[Completion_Date]]-Table4[[#This Row],[Request_Date]],TODAY()-Table4[[#This Row],[Request_Date]])</f>
        <v>1</v>
      </c>
      <c r="L18" s="2" t="str">
        <f>IF(Table4[[#This Row],[Maintenance_Status]]="Completed","Closed",IF(AND(Table4[[#This Row],[Priority]]="High",Table4[[#This Row],[Maintenance_Status]]&lt;&gt;"Completed"),"Urgent",IF(Table4[[#This Row],[Days_Open]]&gt;14,"Needs Attention","Normal")))</f>
        <v>Closed</v>
      </c>
    </row>
    <row r="19" spans="1:12">
      <c r="A19" s="2" t="s">
        <v>183</v>
      </c>
      <c r="B19" s="2" t="s">
        <v>35</v>
      </c>
      <c r="C19" s="6">
        <v>46263</v>
      </c>
      <c r="D19" s="2" t="s">
        <v>152</v>
      </c>
      <c r="E19" s="2" t="s">
        <v>184</v>
      </c>
      <c r="F19" s="2" t="s">
        <v>134</v>
      </c>
      <c r="G19" s="2" t="s">
        <v>166</v>
      </c>
      <c r="H19" s="2"/>
      <c r="I19" s="19">
        <v>0</v>
      </c>
      <c r="J19" s="2" t="s">
        <v>154</v>
      </c>
      <c r="K19" s="17">
        <f ca="1">IF(Table4[[#This Row],[Maintenance_Status]]="Completed",Table4[[#This Row],[Completion_Date]]-Table4[[#This Row],[Request_Date]],TODAY()-Table4[[#This Row],[Request_Date]])</f>
        <v>9</v>
      </c>
      <c r="L19" s="2" t="str">
        <f ca="1">IF(Table4[[#This Row],[Maintenance_Status]]="Completed","Closed",IF(AND(Table4[[#This Row],[Priority]]="High",Table4[[#This Row],[Maintenance_Status]]&lt;&gt;"Completed"),"Urgent",IF(Table4[[#This Row],[Days_Open]]&gt;14,"Needs Attention","Normal")))</f>
        <v>Normal</v>
      </c>
    </row>
  </sheetData>
  <conditionalFormatting sqref="L2:L19">
    <cfRule type="containsText" dxfId="3" priority="1" operator="containsText" text="Closed">
      <formula>NOT(ISERROR(SEARCH("Closed",L2)))</formula>
    </cfRule>
    <cfRule type="containsText" dxfId="2" priority="2" operator="containsText" text="Normal">
      <formula>NOT(ISERROR(SEARCH("Normal",L2)))</formula>
    </cfRule>
    <cfRule type="containsText" dxfId="1" priority="3" operator="containsText" text="Needs Attention">
      <formula>NOT(ISERROR(SEARCH("Needs Attention",L2)))</formula>
    </cfRule>
    <cfRule type="containsText" dxfId="0" priority="4" operator="containsText" text="Urgent">
      <formula>NOT(ISERROR(SEARCH("Urgent",L2)))</formula>
    </cfRule>
  </conditionalFormatting>
  <dataValidations count="4">
    <dataValidation type="list" allowBlank="1" showInputMessage="1" showErrorMessage="1" sqref="D2:D19" xr:uid="{08D39FC5-77D6-4F82-A0C7-93EDC6589E67}">
      <formula1>"AC,Appliance,Cleaning,Electrical,Painting,Plumbing"</formula1>
    </dataValidation>
    <dataValidation type="list" allowBlank="1" showInputMessage="1" showErrorMessage="1" sqref="F2:F19" xr:uid="{95362323-A065-46ED-966A-9D9EE86C37EF}">
      <formula1>"Low,Medium,High"</formula1>
    </dataValidation>
    <dataValidation type="list" allowBlank="1" showInputMessage="1" showErrorMessage="1" sqref="G2:G19" xr:uid="{32687EE6-C7EE-4516-89FF-39876442E19F}">
      <formula1>"Completed,In Progress,Pending"</formula1>
    </dataValidation>
    <dataValidation type="list" allowBlank="1" showInputMessage="1" showErrorMessage="1" sqref="B2:B19" xr:uid="{33C74B09-973C-4BB3-8EBA-97C644BFD1BC}">
      <formula1>INDIRECT("Table1[Apartment_ID]")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568-44A6-4BC6-9C19-34E91E1F8078}">
  <dimension ref="A1:H25"/>
  <sheetViews>
    <sheetView zoomScale="61" workbookViewId="0">
      <selection activeCell="G18" sqref="G18"/>
    </sheetView>
  </sheetViews>
  <sheetFormatPr defaultRowHeight="14.5"/>
  <cols>
    <col min="1" max="1" width="15.90625" bestFit="1" customWidth="1"/>
    <col min="2" max="2" width="18.26953125" bestFit="1" customWidth="1"/>
    <col min="3" max="3" width="22.1796875" bestFit="1" customWidth="1"/>
    <col min="4" max="4" width="29.81640625" bestFit="1" customWidth="1"/>
    <col min="5" max="5" width="12.81640625" bestFit="1" customWidth="1"/>
    <col min="6" max="6" width="12.453125" style="3" bestFit="1" customWidth="1"/>
    <col min="7" max="7" width="21.26953125" bestFit="1" customWidth="1"/>
    <col min="8" max="8" width="19.81640625" bestFit="1" customWidth="1"/>
  </cols>
  <sheetData>
    <row r="1" spans="1:8" s="11" customFormat="1" ht="16">
      <c r="A1" s="10" t="s">
        <v>185</v>
      </c>
      <c r="B1" s="10" t="s">
        <v>186</v>
      </c>
      <c r="C1" s="10" t="s">
        <v>187</v>
      </c>
      <c r="D1" s="10" t="s">
        <v>125</v>
      </c>
      <c r="E1" s="10" t="s">
        <v>1</v>
      </c>
      <c r="F1" s="12" t="s">
        <v>188</v>
      </c>
      <c r="G1" s="10" t="s">
        <v>94</v>
      </c>
      <c r="H1" s="10" t="s">
        <v>130</v>
      </c>
    </row>
    <row r="2" spans="1:8">
      <c r="A2" s="2" t="s">
        <v>189</v>
      </c>
      <c r="B2" s="6">
        <v>46174</v>
      </c>
      <c r="C2" s="2" t="s">
        <v>190</v>
      </c>
      <c r="D2" s="2" t="s">
        <v>191</v>
      </c>
      <c r="E2" s="2" t="s">
        <v>25</v>
      </c>
      <c r="F2" s="4">
        <v>1250</v>
      </c>
      <c r="G2" s="2" t="s">
        <v>97</v>
      </c>
      <c r="H2" s="2" t="s">
        <v>192</v>
      </c>
    </row>
    <row r="3" spans="1:8">
      <c r="A3" s="2" t="s">
        <v>193</v>
      </c>
      <c r="B3" s="6">
        <v>46174</v>
      </c>
      <c r="C3" s="2" t="s">
        <v>190</v>
      </c>
      <c r="D3" s="2" t="s">
        <v>194</v>
      </c>
      <c r="E3" s="2" t="s">
        <v>33</v>
      </c>
      <c r="F3" s="4">
        <v>1120</v>
      </c>
      <c r="G3" s="2" t="s">
        <v>97</v>
      </c>
      <c r="H3" s="2" t="s">
        <v>192</v>
      </c>
    </row>
    <row r="4" spans="1:8">
      <c r="A4" s="2" t="s">
        <v>195</v>
      </c>
      <c r="B4" s="6">
        <v>46178</v>
      </c>
      <c r="C4" s="2" t="s">
        <v>174</v>
      </c>
      <c r="D4" s="2" t="s">
        <v>196</v>
      </c>
      <c r="E4" s="2" t="s">
        <v>25</v>
      </c>
      <c r="F4" s="4">
        <v>450</v>
      </c>
      <c r="G4" s="2" t="s">
        <v>97</v>
      </c>
      <c r="H4" s="2" t="s">
        <v>176</v>
      </c>
    </row>
    <row r="5" spans="1:8">
      <c r="A5" s="2" t="s">
        <v>197</v>
      </c>
      <c r="B5" s="6">
        <v>46178</v>
      </c>
      <c r="C5" s="2" t="s">
        <v>174</v>
      </c>
      <c r="D5" s="2" t="s">
        <v>196</v>
      </c>
      <c r="E5" s="2" t="s">
        <v>33</v>
      </c>
      <c r="F5" s="4">
        <v>420</v>
      </c>
      <c r="G5" s="2" t="s">
        <v>97</v>
      </c>
      <c r="H5" s="2" t="s">
        <v>176</v>
      </c>
    </row>
    <row r="6" spans="1:8">
      <c r="A6" s="2" t="s">
        <v>198</v>
      </c>
      <c r="B6" s="6">
        <v>46183</v>
      </c>
      <c r="C6" s="2" t="s">
        <v>199</v>
      </c>
      <c r="D6" s="2" t="s">
        <v>200</v>
      </c>
      <c r="E6" s="2" t="s">
        <v>201</v>
      </c>
      <c r="F6" s="4">
        <v>1500</v>
      </c>
      <c r="G6" s="2" t="s">
        <v>97</v>
      </c>
      <c r="H6" s="2" t="s">
        <v>202</v>
      </c>
    </row>
    <row r="7" spans="1:8">
      <c r="A7" s="2" t="s">
        <v>203</v>
      </c>
      <c r="B7" s="6">
        <v>46188</v>
      </c>
      <c r="C7" s="2" t="s">
        <v>204</v>
      </c>
      <c r="D7" s="2" t="s">
        <v>205</v>
      </c>
      <c r="E7" s="2" t="s">
        <v>201</v>
      </c>
      <c r="F7" s="4">
        <v>600</v>
      </c>
      <c r="G7" s="2" t="s">
        <v>102</v>
      </c>
      <c r="H7" s="2" t="s">
        <v>206</v>
      </c>
    </row>
    <row r="8" spans="1:8">
      <c r="A8" s="2" t="s">
        <v>207</v>
      </c>
      <c r="B8" s="6">
        <v>46204</v>
      </c>
      <c r="C8" s="2" t="s">
        <v>190</v>
      </c>
      <c r="D8" s="2" t="s">
        <v>191</v>
      </c>
      <c r="E8" s="2" t="s">
        <v>25</v>
      </c>
      <c r="F8" s="4">
        <v>1380</v>
      </c>
      <c r="G8" s="2" t="s">
        <v>97</v>
      </c>
      <c r="H8" s="2" t="s">
        <v>192</v>
      </c>
    </row>
    <row r="9" spans="1:8">
      <c r="A9" s="2" t="s">
        <v>208</v>
      </c>
      <c r="B9" s="6">
        <v>46204</v>
      </c>
      <c r="C9" s="2" t="s">
        <v>190</v>
      </c>
      <c r="D9" s="2" t="s">
        <v>194</v>
      </c>
      <c r="E9" s="2" t="s">
        <v>33</v>
      </c>
      <c r="F9" s="4">
        <v>1210</v>
      </c>
      <c r="G9" s="2" t="s">
        <v>97</v>
      </c>
      <c r="H9" s="2" t="s">
        <v>192</v>
      </c>
    </row>
    <row r="10" spans="1:8">
      <c r="A10" s="2" t="s">
        <v>209</v>
      </c>
      <c r="B10" s="6">
        <v>46208</v>
      </c>
      <c r="C10" s="2" t="s">
        <v>174</v>
      </c>
      <c r="D10" s="2" t="s">
        <v>196</v>
      </c>
      <c r="E10" s="2" t="s">
        <v>25</v>
      </c>
      <c r="F10" s="4">
        <v>450</v>
      </c>
      <c r="G10" s="2" t="s">
        <v>97</v>
      </c>
      <c r="H10" s="2" t="s">
        <v>176</v>
      </c>
    </row>
    <row r="11" spans="1:8">
      <c r="A11" s="2" t="s">
        <v>210</v>
      </c>
      <c r="B11" s="6">
        <v>46208</v>
      </c>
      <c r="C11" s="2" t="s">
        <v>174</v>
      </c>
      <c r="D11" s="2" t="s">
        <v>196</v>
      </c>
      <c r="E11" s="2" t="s">
        <v>33</v>
      </c>
      <c r="F11" s="4">
        <v>420</v>
      </c>
      <c r="G11" s="2" t="s">
        <v>97</v>
      </c>
      <c r="H11" s="2" t="s">
        <v>176</v>
      </c>
    </row>
    <row r="12" spans="1:8">
      <c r="A12" s="2" t="s">
        <v>211</v>
      </c>
      <c r="B12" s="6">
        <v>46213</v>
      </c>
      <c r="C12" s="2" t="s">
        <v>199</v>
      </c>
      <c r="D12" s="2" t="s">
        <v>200</v>
      </c>
      <c r="E12" s="2" t="s">
        <v>201</v>
      </c>
      <c r="F12" s="4">
        <v>1500</v>
      </c>
      <c r="G12" s="2" t="s">
        <v>97</v>
      </c>
      <c r="H12" s="2" t="s">
        <v>202</v>
      </c>
    </row>
    <row r="13" spans="1:8">
      <c r="A13" s="2" t="s">
        <v>212</v>
      </c>
      <c r="B13" s="6">
        <v>46218</v>
      </c>
      <c r="C13" s="2" t="s">
        <v>204</v>
      </c>
      <c r="D13" s="2" t="s">
        <v>205</v>
      </c>
      <c r="E13" s="2" t="s">
        <v>201</v>
      </c>
      <c r="F13" s="4">
        <v>600</v>
      </c>
      <c r="G13" s="2" t="s">
        <v>102</v>
      </c>
      <c r="H13" s="2" t="s">
        <v>206</v>
      </c>
    </row>
    <row r="14" spans="1:8">
      <c r="A14" s="2" t="s">
        <v>213</v>
      </c>
      <c r="B14" s="6">
        <v>46221</v>
      </c>
      <c r="C14" s="2" t="s">
        <v>214</v>
      </c>
      <c r="D14" s="2" t="s">
        <v>215</v>
      </c>
      <c r="E14" s="2" t="s">
        <v>201</v>
      </c>
      <c r="F14" s="4">
        <v>340</v>
      </c>
      <c r="G14" s="2" t="s">
        <v>100</v>
      </c>
      <c r="H14" s="2" t="s">
        <v>216</v>
      </c>
    </row>
    <row r="15" spans="1:8">
      <c r="A15" s="2" t="s">
        <v>217</v>
      </c>
      <c r="B15" s="6">
        <v>46235</v>
      </c>
      <c r="C15" s="2" t="s">
        <v>190</v>
      </c>
      <c r="D15" s="2" t="s">
        <v>191</v>
      </c>
      <c r="E15" s="2" t="s">
        <v>25</v>
      </c>
      <c r="F15" s="4">
        <v>1460</v>
      </c>
      <c r="G15" s="2" t="s">
        <v>97</v>
      </c>
      <c r="H15" s="2" t="s">
        <v>192</v>
      </c>
    </row>
    <row r="16" spans="1:8">
      <c r="A16" s="2" t="s">
        <v>218</v>
      </c>
      <c r="B16" s="6">
        <v>46235</v>
      </c>
      <c r="C16" s="2" t="s">
        <v>190</v>
      </c>
      <c r="D16" s="2" t="s">
        <v>194</v>
      </c>
      <c r="E16" s="2" t="s">
        <v>33</v>
      </c>
      <c r="F16" s="4">
        <v>1290</v>
      </c>
      <c r="G16" s="2" t="s">
        <v>97</v>
      </c>
      <c r="H16" s="2" t="s">
        <v>192</v>
      </c>
    </row>
    <row r="17" spans="1:8">
      <c r="A17" s="2" t="s">
        <v>219</v>
      </c>
      <c r="B17" s="6">
        <v>46239</v>
      </c>
      <c r="C17" s="2" t="s">
        <v>174</v>
      </c>
      <c r="D17" s="2" t="s">
        <v>196</v>
      </c>
      <c r="E17" s="2" t="s">
        <v>25</v>
      </c>
      <c r="F17" s="4">
        <v>450</v>
      </c>
      <c r="G17" s="2" t="s">
        <v>97</v>
      </c>
      <c r="H17" s="2" t="s">
        <v>176</v>
      </c>
    </row>
    <row r="18" spans="1:8">
      <c r="A18" s="2" t="s">
        <v>220</v>
      </c>
      <c r="B18" s="6">
        <v>46239</v>
      </c>
      <c r="C18" s="2" t="s">
        <v>174</v>
      </c>
      <c r="D18" s="2" t="s">
        <v>196</v>
      </c>
      <c r="E18" s="2" t="s">
        <v>33</v>
      </c>
      <c r="F18" s="4">
        <v>420</v>
      </c>
      <c r="G18" s="2" t="s">
        <v>97</v>
      </c>
      <c r="H18" s="2" t="s">
        <v>176</v>
      </c>
    </row>
    <row r="19" spans="1:8">
      <c r="A19" s="2" t="s">
        <v>221</v>
      </c>
      <c r="B19" s="6">
        <v>46244</v>
      </c>
      <c r="C19" s="2" t="s">
        <v>199</v>
      </c>
      <c r="D19" s="2" t="s">
        <v>200</v>
      </c>
      <c r="E19" s="2" t="s">
        <v>201</v>
      </c>
      <c r="F19" s="4">
        <v>1500</v>
      </c>
      <c r="G19" s="2" t="s">
        <v>97</v>
      </c>
      <c r="H19" s="2" t="s">
        <v>202</v>
      </c>
    </row>
    <row r="20" spans="1:8">
      <c r="A20" s="2" t="s">
        <v>222</v>
      </c>
      <c r="B20" s="6">
        <v>46249</v>
      </c>
      <c r="C20" s="2" t="s">
        <v>204</v>
      </c>
      <c r="D20" s="2" t="s">
        <v>205</v>
      </c>
      <c r="E20" s="2" t="s">
        <v>201</v>
      </c>
      <c r="F20" s="4">
        <v>600</v>
      </c>
      <c r="G20" s="2" t="s">
        <v>102</v>
      </c>
      <c r="H20" s="2" t="s">
        <v>206</v>
      </c>
    </row>
    <row r="21" spans="1:8">
      <c r="A21" s="2" t="s">
        <v>223</v>
      </c>
      <c r="B21" s="6">
        <v>46252</v>
      </c>
      <c r="C21" s="2" t="s">
        <v>224</v>
      </c>
      <c r="D21" s="2" t="s">
        <v>225</v>
      </c>
      <c r="E21" s="2" t="s">
        <v>201</v>
      </c>
      <c r="F21" s="4">
        <v>2200</v>
      </c>
      <c r="G21" s="2" t="s">
        <v>97</v>
      </c>
      <c r="H21" s="2" t="s">
        <v>226</v>
      </c>
    </row>
    <row r="22" spans="1:8">
      <c r="A22" s="2" t="s">
        <v>227</v>
      </c>
      <c r="B22" s="6">
        <v>46255</v>
      </c>
      <c r="C22" s="2" t="s">
        <v>214</v>
      </c>
      <c r="D22" s="2" t="s">
        <v>228</v>
      </c>
      <c r="E22" s="2" t="s">
        <v>201</v>
      </c>
      <c r="F22" s="4">
        <v>185</v>
      </c>
      <c r="G22" s="2" t="s">
        <v>100</v>
      </c>
      <c r="H22" s="2" t="s">
        <v>229</v>
      </c>
    </row>
    <row r="23" spans="1:8">
      <c r="A23" s="2" t="s">
        <v>230</v>
      </c>
      <c r="B23" s="6">
        <v>46259</v>
      </c>
      <c r="C23" s="2" t="s">
        <v>231</v>
      </c>
      <c r="D23" s="2" t="s">
        <v>232</v>
      </c>
      <c r="E23" s="2" t="s">
        <v>201</v>
      </c>
      <c r="F23" s="4">
        <v>350</v>
      </c>
      <c r="G23" s="2" t="s">
        <v>102</v>
      </c>
      <c r="H23" s="2" t="s">
        <v>233</v>
      </c>
    </row>
    <row r="24" spans="1:8">
      <c r="A24" s="2" t="s">
        <v>234</v>
      </c>
      <c r="B24" s="6">
        <v>46262</v>
      </c>
      <c r="C24" s="2" t="s">
        <v>235</v>
      </c>
      <c r="D24" s="2" t="s">
        <v>236</v>
      </c>
      <c r="E24" s="2" t="s">
        <v>25</v>
      </c>
      <c r="F24" s="4">
        <v>500</v>
      </c>
      <c r="G24" s="2" t="s">
        <v>97</v>
      </c>
      <c r="H24" s="2" t="s">
        <v>237</v>
      </c>
    </row>
    <row r="25" spans="1:8">
      <c r="A25" s="2" t="s">
        <v>238</v>
      </c>
      <c r="B25" s="6">
        <v>46263</v>
      </c>
      <c r="C25" s="2" t="s">
        <v>239</v>
      </c>
      <c r="D25" s="2" t="s">
        <v>240</v>
      </c>
      <c r="E25" s="2" t="s">
        <v>201</v>
      </c>
      <c r="F25" s="4">
        <v>480</v>
      </c>
      <c r="G25" s="2" t="s">
        <v>97</v>
      </c>
      <c r="H25" s="2" t="s">
        <v>241</v>
      </c>
    </row>
  </sheetData>
  <dataValidations count="3">
    <dataValidation type="list" allowBlank="1" showInputMessage="1" showErrorMessage="1" sqref="C2:C25" xr:uid="{834F961F-C57A-484E-855F-9A430CA429A9}">
      <formula1>"Utilities,Cleaning,Security,Internet,Supplies,Insurance,Administration,Landscaping,Pest Control"</formula1>
    </dataValidation>
    <dataValidation type="list" allowBlank="1" showInputMessage="1" showErrorMessage="1" sqref="E2:E25" xr:uid="{A83BF97D-CACD-4D07-8022-F88DC10A1C6C}">
      <formula1>"Building A,Building B,Both"</formula1>
    </dataValidation>
    <dataValidation type="list" allowBlank="1" showInputMessage="1" showErrorMessage="1" sqref="G2:G25" xr:uid="{78EC716A-0F17-4BDB-9EB6-13F44CB41BBA}">
      <formula1>"Bank Transfer,Cash,Card"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2DF8-5281-4828-BB07-5DDC0C246E15}">
  <dimension ref="B1:L29"/>
  <sheetViews>
    <sheetView showGridLines="0" topLeftCell="C2" zoomScale="141" zoomScaleNormal="100" zoomScaleSheetLayoutView="100" workbookViewId="0">
      <selection activeCell="G14" sqref="G14"/>
    </sheetView>
  </sheetViews>
  <sheetFormatPr defaultRowHeight="14.5"/>
  <cols>
    <col min="2" max="2" width="8.08984375" bestFit="1" customWidth="1"/>
    <col min="3" max="3" width="9.6328125" customWidth="1"/>
    <col min="4" max="4" width="10.36328125" bestFit="1" customWidth="1"/>
    <col min="5" max="5" width="11.90625" bestFit="1" customWidth="1"/>
    <col min="6" max="6" width="10.08984375" bestFit="1" customWidth="1"/>
    <col min="7" max="7" width="15.90625" bestFit="1" customWidth="1"/>
    <col min="8" max="8" width="14.6328125" bestFit="1" customWidth="1"/>
    <col min="9" max="9" width="15.54296875" bestFit="1" customWidth="1"/>
    <col min="10" max="10" width="9.7265625" bestFit="1" customWidth="1"/>
    <col min="11" max="11" width="9.1796875" bestFit="1" customWidth="1"/>
    <col min="12" max="12" width="10.08984375" bestFit="1" customWidth="1"/>
  </cols>
  <sheetData>
    <row r="1" spans="2:12">
      <c r="B1" s="100" t="s">
        <v>247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2:12"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2:12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2:12"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6" spans="2:12" ht="16">
      <c r="B6" s="97" t="s">
        <v>248</v>
      </c>
      <c r="C6" s="97"/>
      <c r="D6" s="97"/>
      <c r="E6" s="97"/>
      <c r="F6" s="97"/>
      <c r="G6" s="97"/>
      <c r="H6" s="97"/>
      <c r="I6" s="97"/>
      <c r="J6" s="97"/>
      <c r="K6" s="97"/>
      <c r="L6" s="97"/>
    </row>
    <row r="8" spans="2:12">
      <c r="B8" s="101" t="s">
        <v>249</v>
      </c>
      <c r="C8" s="102"/>
      <c r="D8" s="103"/>
      <c r="E8" s="20"/>
      <c r="F8" s="101" t="s">
        <v>255</v>
      </c>
      <c r="G8" s="102"/>
      <c r="H8" s="103"/>
      <c r="I8" s="20"/>
      <c r="J8" s="101" t="s">
        <v>261</v>
      </c>
      <c r="K8" s="102"/>
      <c r="L8" s="103"/>
    </row>
    <row r="9" spans="2:12">
      <c r="B9" s="104" t="s">
        <v>250</v>
      </c>
      <c r="C9" s="105"/>
      <c r="D9" s="23">
        <f>COUNTA(Table1[Apartment_ID])</f>
        <v>16</v>
      </c>
      <c r="E9" s="20"/>
      <c r="F9" s="106" t="s">
        <v>256</v>
      </c>
      <c r="G9" s="107"/>
      <c r="H9" s="26">
        <f>SUM(Table3[Due_Amount])</f>
        <v>62200</v>
      </c>
      <c r="I9" s="20"/>
      <c r="J9" s="106" t="s">
        <v>262</v>
      </c>
      <c r="K9" s="107"/>
      <c r="L9" s="26">
        <f>H10</f>
        <v>60650</v>
      </c>
    </row>
    <row r="10" spans="2:12">
      <c r="B10" s="106" t="s">
        <v>251</v>
      </c>
      <c r="C10" s="107"/>
      <c r="D10" s="23">
        <f>COUNTIF(Table1[Occupancy_Status],"Occupied")</f>
        <v>12</v>
      </c>
      <c r="E10" s="20"/>
      <c r="F10" s="106" t="s">
        <v>257</v>
      </c>
      <c r="G10" s="107"/>
      <c r="H10" s="26">
        <f>SUM(Table3[Paid_Amount])</f>
        <v>60650</v>
      </c>
      <c r="I10" s="20"/>
      <c r="J10" s="106" t="s">
        <v>263</v>
      </c>
      <c r="K10" s="107"/>
      <c r="L10" s="26">
        <f>SUM(Table5[Amount])</f>
        <v>20675</v>
      </c>
    </row>
    <row r="11" spans="2:12">
      <c r="B11" s="106" t="s">
        <v>252</v>
      </c>
      <c r="C11" s="107"/>
      <c r="D11" s="23">
        <f>COUNTIF(Table1[Occupancy_Status],"Vacant")</f>
        <v>4</v>
      </c>
      <c r="E11" s="20"/>
      <c r="F11" s="106" t="s">
        <v>258</v>
      </c>
      <c r="G11" s="107"/>
      <c r="H11" s="26">
        <f>SUM(Table3[Balance])</f>
        <v>1550</v>
      </c>
      <c r="I11" s="20"/>
      <c r="J11" s="106" t="s">
        <v>264</v>
      </c>
      <c r="K11" s="107"/>
      <c r="L11" s="28">
        <f>SUM(Table4[Cost])</f>
        <v>3455</v>
      </c>
    </row>
    <row r="12" spans="2:12">
      <c r="B12" s="108" t="s">
        <v>253</v>
      </c>
      <c r="C12" s="109"/>
      <c r="D12" s="24">
        <f>D10/D9</f>
        <v>0.75</v>
      </c>
      <c r="E12" s="20"/>
      <c r="F12" s="108" t="s">
        <v>259</v>
      </c>
      <c r="G12" s="109"/>
      <c r="H12" s="114">
        <f>H10/H9</f>
        <v>0.97508038585209</v>
      </c>
      <c r="I12" s="20"/>
      <c r="J12" s="106" t="s">
        <v>265</v>
      </c>
      <c r="K12" s="107"/>
      <c r="L12" s="26">
        <f>L10+L11</f>
        <v>24130</v>
      </c>
    </row>
    <row r="13" spans="2:12">
      <c r="B13" s="95" t="s">
        <v>254</v>
      </c>
      <c r="C13" s="96"/>
      <c r="D13" s="25">
        <f>SUM(Table1[Monthly_Rent])</f>
        <v>41900</v>
      </c>
      <c r="E13" s="20"/>
      <c r="F13" s="110" t="s">
        <v>260</v>
      </c>
      <c r="G13" s="111"/>
      <c r="H13" s="27">
        <f>COUNTIF(Table3[Payment_Timing],"Late")</f>
        <v>8</v>
      </c>
      <c r="I13" s="20"/>
      <c r="J13" s="112" t="s">
        <v>266</v>
      </c>
      <c r="K13" s="113"/>
      <c r="L13" s="25">
        <f>L9-L12</f>
        <v>36520</v>
      </c>
    </row>
    <row r="17" spans="2:12" ht="16">
      <c r="B17" s="97" t="s">
        <v>267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</row>
    <row r="19" spans="2:12">
      <c r="C19" s="29" t="s">
        <v>268</v>
      </c>
      <c r="D19" s="30" t="s">
        <v>269</v>
      </c>
      <c r="E19" s="30" t="s">
        <v>257</v>
      </c>
      <c r="F19" s="30" t="s">
        <v>270</v>
      </c>
      <c r="G19" s="30" t="s">
        <v>263</v>
      </c>
      <c r="H19" s="30" t="s">
        <v>264</v>
      </c>
      <c r="I19" s="30" t="s">
        <v>265</v>
      </c>
      <c r="J19" s="31" t="s">
        <v>271</v>
      </c>
    </row>
    <row r="20" spans="2:12">
      <c r="C20" s="34">
        <v>46174</v>
      </c>
      <c r="D20" s="32" t="s">
        <v>272</v>
      </c>
      <c r="E20" s="32" t="s">
        <v>272</v>
      </c>
      <c r="F20" s="32" t="s">
        <v>272</v>
      </c>
      <c r="G20" s="44">
        <f>SUMIFS(Table5[Amount],Table5[Expense_Date],"&gt;="&amp;Analysis!C20,Table5[Expense_Date],"&lt;"&amp;EDATE(Analysis!C20,1))</f>
        <v>5340</v>
      </c>
      <c r="H20" s="44">
        <f>SUMIFS(Table4[Cost],Table4[Request_Date],"&gt;="&amp;Analysis!C20,Table4[Request_Date],"&lt;"&amp;EDATE(Analysis!C20,1))</f>
        <v>1040</v>
      </c>
      <c r="I20" s="44">
        <f>G20+H20</f>
        <v>6380</v>
      </c>
      <c r="J20" s="33" t="s">
        <v>272</v>
      </c>
    </row>
    <row r="21" spans="2:12">
      <c r="C21" s="34">
        <v>46204</v>
      </c>
      <c r="D21" s="44">
        <f>SUMIFS(Table3[Due_Amount],Table3[Payment_Month],Analysis!C21)</f>
        <v>29850</v>
      </c>
      <c r="E21" s="44">
        <f>SUMIFS(Table3[Paid_Amount],Table3[Payment_Month],Analysis!C21)</f>
        <v>29200</v>
      </c>
      <c r="F21" s="45">
        <f>SUMIFS(Table3[Balance],Table3[Payment_Month],Analysis!C21)</f>
        <v>650</v>
      </c>
      <c r="G21" s="44">
        <f>SUMIFS(Table5[Amount],Table5[Expense_Date],"&gt;="&amp;Analysis!C21,Table5[Expense_Date],"&lt;"&amp;EDATE(Analysis!C21,1))</f>
        <v>5900</v>
      </c>
      <c r="H21" s="44">
        <f>SUMIFS(Table4[Cost],Table4[Request_Date],"&gt;="&amp;Analysis!C21,Table4[Request_Date],"&lt;"&amp;EDATE(Analysis!C21,1))</f>
        <v>790</v>
      </c>
      <c r="I21" s="44">
        <f t="shared" ref="I21:I22" si="0">G21+H21</f>
        <v>6690</v>
      </c>
      <c r="J21" s="46">
        <f>E21-I21</f>
        <v>22510</v>
      </c>
    </row>
    <row r="22" spans="2:12">
      <c r="C22" s="35">
        <v>46235</v>
      </c>
      <c r="D22" s="47">
        <f>SUMIFS(Table3[Due_Amount],Table3[Payment_Month],Analysis!C22)</f>
        <v>32350</v>
      </c>
      <c r="E22" s="47">
        <f>SUMIFS(Table3[Paid_Amount],Table3[Payment_Month],Analysis!C22)</f>
        <v>31450</v>
      </c>
      <c r="F22" s="48">
        <f>SUMIFS(Table3[Balance],Table3[Payment_Month],Analysis!C22)</f>
        <v>900</v>
      </c>
      <c r="G22" s="47">
        <f>SUMIFS(Table5[Amount],Table5[Expense_Date],"&gt;="&amp;Analysis!C22,Table5[Expense_Date],"&lt;"&amp;EDATE(Analysis!C22,1))</f>
        <v>9435</v>
      </c>
      <c r="H22" s="47">
        <f>SUMIFS(Table4[Cost],Table4[Request_Date],"&gt;="&amp;Analysis!C22,Table4[Request_Date],"&lt;"&amp;EDATE(Analysis!C22,1))</f>
        <v>1625</v>
      </c>
      <c r="I22" s="47">
        <f t="shared" si="0"/>
        <v>11060</v>
      </c>
      <c r="J22" s="49">
        <f>E22-I22</f>
        <v>20390</v>
      </c>
    </row>
    <row r="25" spans="2:12" ht="16">
      <c r="B25" s="97" t="s">
        <v>273</v>
      </c>
      <c r="C25" s="97"/>
      <c r="D25" s="97"/>
      <c r="E25" s="97"/>
      <c r="F25" s="97"/>
      <c r="G25" s="11"/>
      <c r="H25" s="97" t="s">
        <v>277</v>
      </c>
      <c r="I25" s="97"/>
      <c r="J25" s="97"/>
      <c r="K25" s="97"/>
      <c r="L25" s="97"/>
    </row>
    <row r="26" spans="2:12">
      <c r="C26" s="98" t="s">
        <v>274</v>
      </c>
      <c r="D26" s="99"/>
      <c r="E26" s="41">
        <f>COUNTIF(Table4[Maintenance_Status],"&lt;&gt;Completed")</f>
        <v>6</v>
      </c>
      <c r="F26" s="20"/>
      <c r="G26" s="20"/>
      <c r="I26" s="21" t="s">
        <v>278</v>
      </c>
      <c r="J26" s="20"/>
      <c r="K26" s="43">
        <f>H11</f>
        <v>1550</v>
      </c>
      <c r="L26" s="20"/>
    </row>
    <row r="27" spans="2:12">
      <c r="C27" s="98" t="s">
        <v>275</v>
      </c>
      <c r="D27" s="99"/>
      <c r="E27" s="40">
        <f ca="1">COUNTIF(Table4[Attention_Flag],"Urgent")</f>
        <v>1</v>
      </c>
      <c r="F27" s="20"/>
      <c r="G27" s="20"/>
      <c r="I27" s="42" t="s">
        <v>279</v>
      </c>
      <c r="J27" s="20"/>
      <c r="K27" s="37">
        <f ca="1">E27</f>
        <v>1</v>
      </c>
      <c r="L27" s="21"/>
    </row>
    <row r="28" spans="2:12">
      <c r="B28" s="18"/>
      <c r="C28" s="95" t="s">
        <v>276</v>
      </c>
      <c r="D28" s="96"/>
      <c r="E28" s="39">
        <f ca="1">AVERAGEIF(Table4[Maintenance_Status],"Completed",Table4[Days_Open])</f>
        <v>1.0833333333333333</v>
      </c>
      <c r="F28" s="20"/>
      <c r="G28" s="20"/>
      <c r="H28" s="18"/>
      <c r="I28" s="22" t="s">
        <v>280</v>
      </c>
      <c r="J28" s="20"/>
      <c r="K28" s="36">
        <f>D11</f>
        <v>4</v>
      </c>
      <c r="L28" s="21"/>
    </row>
    <row r="29" spans="2:12">
      <c r="E29" s="38"/>
      <c r="J29" s="38"/>
      <c r="K29" s="38"/>
    </row>
  </sheetData>
  <mergeCells count="26">
    <mergeCell ref="F13:G13"/>
    <mergeCell ref="J9:K9"/>
    <mergeCell ref="J10:K10"/>
    <mergeCell ref="J11:K11"/>
    <mergeCell ref="J12:K12"/>
    <mergeCell ref="J13:K13"/>
    <mergeCell ref="F9:G9"/>
    <mergeCell ref="F10:G10"/>
    <mergeCell ref="F11:G11"/>
    <mergeCell ref="F12:G12"/>
    <mergeCell ref="B9:C9"/>
    <mergeCell ref="B10:C10"/>
    <mergeCell ref="B11:C11"/>
    <mergeCell ref="B12:C12"/>
    <mergeCell ref="B13:C13"/>
    <mergeCell ref="B1:L4"/>
    <mergeCell ref="B6:L6"/>
    <mergeCell ref="B8:D8"/>
    <mergeCell ref="F8:H8"/>
    <mergeCell ref="J8:L8"/>
    <mergeCell ref="C28:D28"/>
    <mergeCell ref="B17:L17"/>
    <mergeCell ref="B25:F25"/>
    <mergeCell ref="H25:L25"/>
    <mergeCell ref="C26:D26"/>
    <mergeCell ref="C27:D27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ABDD-9E76-4174-8773-601076360D9C}">
  <dimension ref="A1:AH41"/>
  <sheetViews>
    <sheetView showGridLines="0" tabSelected="1" zoomScale="69" zoomScaleNormal="100" workbookViewId="0"/>
  </sheetViews>
  <sheetFormatPr defaultRowHeight="14.5"/>
  <cols>
    <col min="1" max="1" width="25.6328125" bestFit="1" customWidth="1"/>
    <col min="2" max="2" width="1.08984375" customWidth="1"/>
    <col min="4" max="4" width="9.1796875" bestFit="1" customWidth="1"/>
    <col min="5" max="5" width="9.08984375" customWidth="1"/>
    <col min="6" max="6" width="7.1796875" customWidth="1"/>
    <col min="7" max="7" width="7.36328125" customWidth="1"/>
    <col min="8" max="8" width="15.26953125" customWidth="1"/>
    <col min="9" max="9" width="5.08984375" customWidth="1"/>
    <col min="10" max="10" width="6.6328125" customWidth="1"/>
    <col min="11" max="11" width="7.08984375" customWidth="1"/>
    <col min="12" max="12" width="14.6328125" bestFit="1" customWidth="1"/>
    <col min="13" max="13" width="5.54296875" customWidth="1"/>
    <col min="14" max="14" width="6.6328125" customWidth="1"/>
    <col min="15" max="15" width="6.08984375" customWidth="1"/>
    <col min="16" max="16" width="17.26953125" bestFit="1" customWidth="1"/>
    <col min="17" max="17" width="5.1796875" customWidth="1"/>
    <col min="19" max="19" width="8.90625" customWidth="1"/>
    <col min="20" max="20" width="13.26953125" customWidth="1"/>
    <col min="21" max="21" width="10.08984375" customWidth="1"/>
    <col min="22" max="22" width="10.6328125" customWidth="1"/>
    <col min="23" max="23" width="10.81640625" bestFit="1" customWidth="1"/>
    <col min="24" max="24" width="20.90625" customWidth="1"/>
    <col min="25" max="25" width="17.36328125" customWidth="1"/>
    <col min="26" max="26" width="17.7265625" customWidth="1"/>
    <col min="27" max="27" width="15.6328125" bestFit="1" customWidth="1"/>
    <col min="28" max="28" width="13.26953125" bestFit="1" customWidth="1"/>
    <col min="29" max="29" width="10" bestFit="1" customWidth="1"/>
    <col min="30" max="30" width="17.6328125" bestFit="1" customWidth="1"/>
    <col min="31" max="31" width="11.54296875" customWidth="1"/>
  </cols>
  <sheetData>
    <row r="1" spans="1:34" ht="35.5" customHeight="1">
      <c r="A1" s="73" t="s">
        <v>282</v>
      </c>
      <c r="B1" s="94" t="s">
        <v>281</v>
      </c>
      <c r="C1" s="94"/>
      <c r="D1" s="94"/>
      <c r="E1" s="94"/>
      <c r="F1" s="94"/>
      <c r="G1" s="94"/>
      <c r="H1" s="94"/>
      <c r="I1" s="94"/>
      <c r="J1" s="94"/>
      <c r="K1" s="94"/>
    </row>
    <row r="2" spans="1:34" ht="17" customHeight="1">
      <c r="A2" s="50"/>
      <c r="B2" s="76" t="s">
        <v>301</v>
      </c>
      <c r="C2" s="77" t="s">
        <v>302</v>
      </c>
      <c r="D2" s="76"/>
      <c r="E2" s="76"/>
      <c r="F2" s="76"/>
      <c r="G2" s="76"/>
      <c r="AA2" s="51" t="s">
        <v>289</v>
      </c>
      <c r="AB2" s="52" t="s">
        <v>188</v>
      </c>
      <c r="AD2" s="51" t="s">
        <v>291</v>
      </c>
      <c r="AE2" s="52" t="s">
        <v>292</v>
      </c>
      <c r="AH2" t="s">
        <v>293</v>
      </c>
    </row>
    <row r="3" spans="1:34" ht="21" customHeight="1">
      <c r="A3" s="71" t="s">
        <v>294</v>
      </c>
      <c r="C3" s="75"/>
      <c r="AA3" t="s">
        <v>290</v>
      </c>
      <c r="AB3" s="58">
        <f>SUM(AB8:AB12)</f>
        <v>3655</v>
      </c>
      <c r="AD3" s="2" t="s">
        <v>135</v>
      </c>
      <c r="AE3" s="1">
        <f>COUNTIF(Table4[Maintenance_Status],Dashboard!AD3)</f>
        <v>12</v>
      </c>
      <c r="AH3" t="str">
        <f>"Rent collected increased "&amp;TEXT((Analysis!E22-Analysis!E21)/Analysis!E21,"0.0%")&amp;" vs Jul-26"</f>
        <v>Rent collected increased 7.7% vs Jul-26</v>
      </c>
    </row>
    <row r="4" spans="1:34">
      <c r="A4" s="74"/>
      <c r="C4" s="60"/>
      <c r="D4" s="61" t="s">
        <v>283</v>
      </c>
      <c r="E4" s="60"/>
      <c r="G4" s="60"/>
      <c r="H4" s="61" t="s">
        <v>284</v>
      </c>
      <c r="I4" s="60"/>
      <c r="K4" s="60"/>
      <c r="L4" s="61" t="s">
        <v>285</v>
      </c>
      <c r="M4" s="60"/>
      <c r="O4" s="60"/>
      <c r="P4" s="61" t="s">
        <v>286</v>
      </c>
      <c r="Q4" s="60"/>
      <c r="AA4" s="2" t="s">
        <v>190</v>
      </c>
      <c r="AB4" s="54">
        <f>SUMIF(Table5[Expense_Category],Dashboard!AA4,Table5[Amount])</f>
        <v>7710</v>
      </c>
      <c r="AD4" s="2" t="s">
        <v>163</v>
      </c>
      <c r="AE4" s="1">
        <f>COUNTIF(Table4[Maintenance_Status],Dashboard!AD4)</f>
        <v>3</v>
      </c>
      <c r="AH4" t="str">
        <f>"Outstanding rent increased "&amp;TEXT((Analysis!F22-Analysis!F21)/Analysis!F21,"0.0%")&amp;" vs Jul-26"</f>
        <v>Outstanding rent increased 38.5% vs Jul-26</v>
      </c>
    </row>
    <row r="5" spans="1:34" ht="26">
      <c r="A5" s="71" t="s">
        <v>295</v>
      </c>
      <c r="C5" s="60"/>
      <c r="D5" s="62">
        <f>Analysis!D12</f>
        <v>0.75</v>
      </c>
      <c r="E5" s="62"/>
      <c r="G5" s="60"/>
      <c r="H5" s="65">
        <f>Analysis!H10</f>
        <v>60650</v>
      </c>
      <c r="I5" s="62"/>
      <c r="K5" s="60"/>
      <c r="L5" s="65">
        <f>Analysis!K26</f>
        <v>1550</v>
      </c>
      <c r="M5" s="62"/>
      <c r="O5" s="60"/>
      <c r="P5" s="66">
        <f>Analysis!L13</f>
        <v>36520</v>
      </c>
      <c r="Q5" s="62"/>
      <c r="AA5" s="2" t="s">
        <v>174</v>
      </c>
      <c r="AB5" s="54">
        <f>SUMIF(Table5[Expense_Category],Dashboard!AA5,Table5[Amount])</f>
        <v>2610</v>
      </c>
      <c r="AD5" s="2" t="s">
        <v>166</v>
      </c>
      <c r="AE5" s="1">
        <f>COUNTIF(Table4[Maintenance_Status],Dashboard!AD5)</f>
        <v>3</v>
      </c>
      <c r="AH5" t="str">
        <f>"Net operating result decreased "&amp;TEXT(ABS((Analysis!J22-Analysis!J21)/Analysis!J21),"0.0%")&amp;" vs Jul-26"</f>
        <v>Net operating result decreased 9.4% vs Jul-26</v>
      </c>
    </row>
    <row r="6" spans="1:34">
      <c r="A6" s="74"/>
      <c r="C6" s="69"/>
      <c r="D6" s="70" t="str">
        <f>Analysis!D10&amp;" of " &amp;Analysis!D9&amp;" units occupied"</f>
        <v>12 of 16 units occupied</v>
      </c>
      <c r="E6" s="63"/>
      <c r="G6" s="60"/>
      <c r="H6" s="68" t="str">
        <f>"▲"&amp;TEXT((Analysis!E22-Analysis!E21)/Analysis!E21,"0.0%")&amp;" vs Jul-26"</f>
        <v>▲7.7% vs Jul-26</v>
      </c>
      <c r="I6" s="63"/>
      <c r="K6" s="60"/>
      <c r="L6" s="67" t="str">
        <f>"▲ "&amp;TEXT((Analysis!F22-Analysis!F21)/Analysis!F21,"0.0%")&amp;" vs Jul-26"</f>
        <v>▲ 38.5% vs Jul-26</v>
      </c>
      <c r="M6" s="63"/>
      <c r="O6" s="60"/>
      <c r="P6" s="67" t="str">
        <f>"▼ "&amp;TEXT((Analysis!J22-Analysis!J21)/Analysis!J21,"0.0%")&amp;" vs Jul-26"</f>
        <v>▼ -9.4% vs Jul-26</v>
      </c>
      <c r="Q6" s="63"/>
      <c r="AA6" s="2" t="s">
        <v>199</v>
      </c>
      <c r="AB6" s="54">
        <f>SUMIF(Table5[Expense_Category],Dashboard!AA6,Table5[Amount])</f>
        <v>4500</v>
      </c>
      <c r="AH6" t="str">
        <f>Analysis!D11&amp;" vacant units"</f>
        <v>4 vacant units</v>
      </c>
    </row>
    <row r="7" spans="1:34" ht="16.5" thickBot="1">
      <c r="A7" s="71" t="s">
        <v>296</v>
      </c>
      <c r="C7" s="60"/>
      <c r="D7" s="60"/>
      <c r="E7" s="60"/>
      <c r="G7" s="64"/>
      <c r="H7" s="64"/>
      <c r="I7" s="64"/>
      <c r="K7" s="60"/>
      <c r="L7" s="60"/>
      <c r="M7" s="64"/>
      <c r="O7" s="64"/>
      <c r="P7" s="60"/>
      <c r="Q7" s="60"/>
      <c r="AA7" s="2" t="s">
        <v>224</v>
      </c>
      <c r="AB7" s="54">
        <f>SUMIF(Table5[Expense_Category],Dashboard!AA7,Table5[Amount])</f>
        <v>2200</v>
      </c>
      <c r="AH7" t="str">
        <f ca="1">Analysis!K27&amp;" urgent maintenance request"</f>
        <v>1 urgent maintenance request</v>
      </c>
    </row>
    <row r="8" spans="1:34" ht="15" thickTop="1">
      <c r="A8" s="74"/>
      <c r="C8" s="59"/>
      <c r="D8" s="59"/>
      <c r="E8" s="59"/>
      <c r="K8" s="59"/>
      <c r="L8" s="59"/>
      <c r="P8" s="59"/>
      <c r="Q8" s="59"/>
      <c r="AA8" s="2" t="s">
        <v>204</v>
      </c>
      <c r="AB8" s="54">
        <f>SUMIF(Table5[Expense_Category],Dashboard!AA8,Table5[Amount])</f>
        <v>1800</v>
      </c>
    </row>
    <row r="9" spans="1:34" ht="16">
      <c r="A9" s="72" t="s">
        <v>297</v>
      </c>
      <c r="AA9" s="2" t="s">
        <v>214</v>
      </c>
      <c r="AB9" s="54">
        <f>SUMIF(Table5[Expense_Category],Dashboard!AA9,Table5[Amount])</f>
        <v>525</v>
      </c>
    </row>
    <row r="10" spans="1:34" ht="16">
      <c r="A10" s="50"/>
      <c r="AA10" s="2" t="s">
        <v>231</v>
      </c>
      <c r="AB10" s="54">
        <f>SUMIF(Table5[Expense_Category],Dashboard!AA10,Table5[Amount])</f>
        <v>350</v>
      </c>
    </row>
    <row r="11" spans="1:34" ht="16">
      <c r="A11" s="71" t="s">
        <v>298</v>
      </c>
      <c r="AA11" s="2" t="s">
        <v>235</v>
      </c>
      <c r="AB11" s="54">
        <f>SUMIF(Table5[Expense_Category],Dashboard!AA11,Table5[Amount])</f>
        <v>500</v>
      </c>
    </row>
    <row r="12" spans="1:34" ht="16">
      <c r="A12" s="50"/>
      <c r="AA12" s="2" t="s">
        <v>239</v>
      </c>
      <c r="AB12" s="54">
        <f>SUMIF(Table5[Expense_Category],Dashboard!AA12,Table5[Amount])</f>
        <v>480</v>
      </c>
    </row>
    <row r="13" spans="1:34" ht="16">
      <c r="A13" s="71" t="s">
        <v>299</v>
      </c>
      <c r="AA13" s="51" t="s">
        <v>1</v>
      </c>
      <c r="AB13" s="51" t="s">
        <v>27</v>
      </c>
      <c r="AC13" s="51" t="s">
        <v>30</v>
      </c>
      <c r="AD13" s="51" t="s">
        <v>1</v>
      </c>
      <c r="AE13" s="52" t="s">
        <v>287</v>
      </c>
      <c r="AF13" s="52" t="s">
        <v>288</v>
      </c>
    </row>
    <row r="14" spans="1:34" ht="16">
      <c r="A14" s="50"/>
      <c r="AA14" s="2" t="s">
        <v>25</v>
      </c>
      <c r="AB14" s="1">
        <f>COUNTIFS(Table1[Building],Dashboard!AA14,Table1[Occupancy_Status],"Occupied")</f>
        <v>6</v>
      </c>
      <c r="AC14" s="1">
        <f>COUNTIFS(Table1[Building],Dashboard!AA14,Table1[Occupancy_Status],"Vacant")</f>
        <v>3</v>
      </c>
      <c r="AD14" s="2" t="s">
        <v>25</v>
      </c>
      <c r="AE14" s="57">
        <f>AB14/(AB14+AC14)</f>
        <v>0.66666666666666663</v>
      </c>
      <c r="AF14" s="57">
        <f>AC14/(AB14+AC14)</f>
        <v>0.33333333333333331</v>
      </c>
    </row>
    <row r="15" spans="1:34" ht="16">
      <c r="A15" s="71" t="s">
        <v>300</v>
      </c>
      <c r="AA15" s="2" t="s">
        <v>33</v>
      </c>
      <c r="AB15" s="1">
        <f>COUNTIFS(Table1[Building],Dashboard!AA15,Table1[Occupancy_Status],"Occupied")</f>
        <v>6</v>
      </c>
      <c r="AC15" s="1">
        <f>COUNTIFS(Table1[Building],Dashboard!AA15,Table1[Occupancy_Status],"Vacant")</f>
        <v>1</v>
      </c>
      <c r="AD15" s="2" t="s">
        <v>33</v>
      </c>
      <c r="AE15" s="57">
        <f>AB15/(AB15+AC15)</f>
        <v>0.8571428571428571</v>
      </c>
      <c r="AF15" s="57">
        <f>AC15/(AB15+AC15)</f>
        <v>0.14285714285714285</v>
      </c>
    </row>
    <row r="16" spans="1:34" ht="16">
      <c r="A16" s="50"/>
      <c r="AA16" s="51" t="s">
        <v>268</v>
      </c>
      <c r="AB16" s="51" t="s">
        <v>257</v>
      </c>
      <c r="AC16" s="51" t="s">
        <v>265</v>
      </c>
      <c r="AD16" s="51" t="s">
        <v>271</v>
      </c>
    </row>
    <row r="17" spans="1:30">
      <c r="A17" s="74"/>
      <c r="AA17" s="53">
        <v>46174</v>
      </c>
      <c r="AB17" s="55" t="e">
        <f>NA()</f>
        <v>#N/A</v>
      </c>
      <c r="AC17" s="56">
        <f>Analysis!I20</f>
        <v>6380</v>
      </c>
      <c r="AD17" s="55" t="e">
        <f>NA()</f>
        <v>#N/A</v>
      </c>
    </row>
    <row r="18" spans="1:30" ht="16">
      <c r="A18" s="50"/>
      <c r="AA18" s="7">
        <v>46204</v>
      </c>
      <c r="AB18" s="54">
        <f>Analysis!E21</f>
        <v>29200</v>
      </c>
      <c r="AC18" s="54">
        <f>Analysis!I21</f>
        <v>6690</v>
      </c>
      <c r="AD18" s="54">
        <f>Analysis!J21</f>
        <v>22510</v>
      </c>
    </row>
    <row r="19" spans="1:30" ht="16">
      <c r="A19" s="50"/>
      <c r="AA19" s="7">
        <v>46235</v>
      </c>
      <c r="AB19" s="54">
        <f>Analysis!E22</f>
        <v>31450</v>
      </c>
      <c r="AC19" s="54">
        <f>Analysis!I22</f>
        <v>11060</v>
      </c>
      <c r="AD19" s="54">
        <f>Analysis!J22</f>
        <v>20390</v>
      </c>
    </row>
    <row r="20" spans="1:30">
      <c r="A20" s="74"/>
    </row>
    <row r="21" spans="1:30">
      <c r="A21" s="74"/>
    </row>
    <row r="22" spans="1:30">
      <c r="A22" s="74"/>
    </row>
    <row r="23" spans="1:30">
      <c r="A23" s="74"/>
    </row>
    <row r="24" spans="1:30">
      <c r="A24" s="74"/>
    </row>
    <row r="25" spans="1:30" ht="23.5">
      <c r="A25" s="74"/>
      <c r="M25" s="60"/>
      <c r="N25" s="80" t="s">
        <v>303</v>
      </c>
      <c r="O25" s="78"/>
      <c r="P25" s="78"/>
      <c r="Q25" s="79"/>
      <c r="R25" s="82"/>
    </row>
    <row r="26" spans="1:30">
      <c r="A26" s="74"/>
      <c r="M26" s="60"/>
      <c r="N26" s="60"/>
      <c r="O26" s="60"/>
      <c r="P26" s="60"/>
      <c r="Q26" s="60"/>
      <c r="R26" s="82"/>
    </row>
    <row r="27" spans="1:30">
      <c r="A27" s="74"/>
      <c r="M27" s="60"/>
      <c r="N27" s="60"/>
      <c r="O27" s="60"/>
      <c r="P27" s="60"/>
      <c r="Q27" s="60"/>
      <c r="R27" s="82"/>
    </row>
    <row r="28" spans="1:30">
      <c r="A28" s="74"/>
      <c r="M28" s="60"/>
      <c r="N28" s="81" t="str">
        <f>AH3</f>
        <v>Rent collected increased 7.7% vs Jul-26</v>
      </c>
      <c r="O28" s="81"/>
      <c r="P28" s="81"/>
      <c r="Q28" s="81"/>
      <c r="R28" s="82"/>
    </row>
    <row r="29" spans="1:30">
      <c r="A29" s="74"/>
      <c r="M29" s="81"/>
      <c r="N29" s="81"/>
      <c r="O29" s="81"/>
      <c r="P29" s="81"/>
      <c r="Q29" s="81"/>
      <c r="R29" s="82"/>
    </row>
    <row r="30" spans="1:30">
      <c r="A30" s="74"/>
      <c r="M30" s="81"/>
      <c r="N30" s="81"/>
      <c r="O30" s="81"/>
      <c r="P30" s="81"/>
      <c r="Q30" s="81"/>
      <c r="R30" s="82"/>
    </row>
    <row r="31" spans="1:30">
      <c r="A31" s="74"/>
      <c r="M31" s="60"/>
      <c r="N31" s="81" t="str">
        <f>AH4</f>
        <v>Outstanding rent increased 38.5% vs Jul-26</v>
      </c>
      <c r="O31" s="81"/>
      <c r="P31" s="81"/>
      <c r="Q31" s="81"/>
      <c r="R31" s="82"/>
    </row>
    <row r="32" spans="1:30">
      <c r="A32" s="74"/>
      <c r="M32" s="81"/>
      <c r="N32" s="81"/>
      <c r="O32" s="81"/>
      <c r="P32" s="81"/>
      <c r="Q32" s="81"/>
      <c r="R32" s="82"/>
    </row>
    <row r="33" spans="1:18">
      <c r="A33" s="74"/>
      <c r="M33" s="81"/>
      <c r="N33" s="81"/>
      <c r="O33" s="81"/>
      <c r="P33" s="81"/>
      <c r="Q33" s="81"/>
      <c r="R33" s="82"/>
    </row>
    <row r="34" spans="1:18">
      <c r="A34" s="74"/>
      <c r="M34" s="60"/>
      <c r="N34" s="81" t="str">
        <f>AH5</f>
        <v>Net operating result decreased 9.4% vs Jul-26</v>
      </c>
      <c r="O34" s="81"/>
      <c r="P34" s="81"/>
      <c r="Q34" s="81"/>
      <c r="R34" s="82"/>
    </row>
    <row r="35" spans="1:18">
      <c r="A35" s="74"/>
      <c r="M35" s="81"/>
      <c r="N35" s="81"/>
      <c r="O35" s="81"/>
      <c r="P35" s="81"/>
      <c r="Q35" s="81"/>
      <c r="R35" s="82"/>
    </row>
    <row r="36" spans="1:18">
      <c r="A36" s="74"/>
      <c r="M36" s="81"/>
      <c r="N36" s="81"/>
      <c r="O36" s="81"/>
      <c r="P36" s="81"/>
      <c r="Q36" s="81"/>
      <c r="R36" s="82"/>
    </row>
    <row r="37" spans="1:18">
      <c r="A37" s="74"/>
      <c r="M37" s="60"/>
      <c r="N37" s="81" t="str">
        <f>AH6</f>
        <v>4 vacant units</v>
      </c>
      <c r="O37" s="81"/>
      <c r="P37" s="81"/>
      <c r="Q37" s="81"/>
      <c r="R37" s="82"/>
    </row>
    <row r="38" spans="1:18">
      <c r="A38" s="74"/>
      <c r="M38" s="81"/>
      <c r="N38" s="81"/>
      <c r="O38" s="81"/>
      <c r="P38" s="81"/>
      <c r="Q38" s="81"/>
      <c r="R38" s="82"/>
    </row>
    <row r="39" spans="1:18">
      <c r="A39" s="74"/>
      <c r="M39" s="81"/>
      <c r="N39" s="81"/>
      <c r="O39" s="81"/>
      <c r="P39" s="81"/>
      <c r="Q39" s="81"/>
      <c r="R39" s="82"/>
    </row>
    <row r="40" spans="1:18">
      <c r="A40" s="74"/>
      <c r="M40" s="60"/>
      <c r="N40" s="81" t="str">
        <f ca="1">AH7</f>
        <v>1 urgent maintenance request</v>
      </c>
      <c r="O40" s="81"/>
      <c r="P40" s="81"/>
      <c r="Q40" s="81"/>
      <c r="R40" s="82"/>
    </row>
    <row r="41" spans="1:18">
      <c r="M41" s="60"/>
      <c r="N41" s="60"/>
      <c r="O41" s="60"/>
      <c r="P41" s="60"/>
      <c r="Q41" s="60"/>
      <c r="R41" s="82"/>
    </row>
  </sheetData>
  <mergeCells count="1">
    <mergeCell ref="B1:K1"/>
  </mergeCells>
  <hyperlinks>
    <hyperlink ref="A5" location="Analysis!A1" display="Analysis" xr:uid="{27FAF074-E422-4E21-BF7A-995A10DA13A6}"/>
    <hyperlink ref="A3" location="Dashboard!A1" display="Dashboard" xr:uid="{4979A7C6-FD7B-48FE-B2A6-C4ECB2BA77C6}"/>
    <hyperlink ref="A7" location="Apartments!A1" display="Apartments" xr:uid="{33435C09-7304-47AC-A8F2-2EEF09787B79}"/>
    <hyperlink ref="A11" location="Rent_Payments!A1" display="Rent Payments" xr:uid="{D3C8BAFB-D896-40CE-91B3-57A18CE5984E}"/>
    <hyperlink ref="A13" location="Maintenance!A1" display="Maintenance" xr:uid="{F4CEDFBD-A81C-42A6-979E-B892644FD886}"/>
    <hyperlink ref="A15" location="Expenses!A1" display="Expenses" xr:uid="{48E063D1-3A58-414F-91AA-552AAEC955C8}"/>
    <hyperlink ref="A9" location="Tenants!A1" display="Tenants" xr:uid="{1755CF2F-B308-4CF3-94D6-A5A575DB4439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Apartments</vt:lpstr>
      <vt:lpstr>Tenants</vt:lpstr>
      <vt:lpstr>Rent_Payments</vt:lpstr>
      <vt:lpstr>Maintenance</vt:lpstr>
      <vt:lpstr>Expenses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2026-08-31T20:24:36Z</dcterms:created>
  <dcterms:modified xsi:type="dcterms:W3CDTF">2026-09-06T21:24:08Z</dcterms:modified>
</cp:coreProperties>
</file>