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17" documentId="8_{DA5C8E91-F621-4DC7-BCE4-0E2424C6BB83}" xr6:coauthVersionLast="47" xr6:coauthVersionMax="47" xr10:uidLastSave="{B22C10C6-AB8C-461C-98ED-3751CBC71258}"/>
  <bookViews>
    <workbookView xWindow="-110" yWindow="-110" windowWidth="19420" windowHeight="12220" xr2:uid="{A760481C-D5F8-4537-9B4E-B04A806C6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1" l="1"/>
  <c r="C20" i="1"/>
  <c r="F7" i="1"/>
  <c r="F8" i="1"/>
  <c r="F9" i="1"/>
  <c r="F10" i="1"/>
  <c r="F11" i="1"/>
  <c r="F12" i="1"/>
  <c r="F13" i="1"/>
  <c r="F6" i="1"/>
  <c r="C21" i="1" s="1"/>
  <c r="F14" i="1" l="1"/>
</calcChain>
</file>

<file path=xl/sharedStrings.xml><?xml version="1.0" encoding="utf-8"?>
<sst xmlns="http://schemas.openxmlformats.org/spreadsheetml/2006/main" count="49" uniqueCount="39">
  <si>
    <t>Product ID</t>
  </si>
  <si>
    <t>Product Name</t>
  </si>
  <si>
    <t>Category</t>
  </si>
  <si>
    <t>Stock Quantity</t>
  </si>
  <si>
    <t>Unit Price</t>
  </si>
  <si>
    <t>Total Value</t>
  </si>
  <si>
    <t>Stock Status</t>
  </si>
  <si>
    <t>P001</t>
  </si>
  <si>
    <t>Keyboard</t>
  </si>
  <si>
    <t>Electronics</t>
  </si>
  <si>
    <t>P002</t>
  </si>
  <si>
    <t>Mouse</t>
  </si>
  <si>
    <t>P003</t>
  </si>
  <si>
    <t>Notebook</t>
  </si>
  <si>
    <t>Stationery</t>
  </si>
  <si>
    <t>P004</t>
  </si>
  <si>
    <t>Printer</t>
  </si>
  <si>
    <t>P005</t>
  </si>
  <si>
    <t>Desk Lamp</t>
  </si>
  <si>
    <t>Furniture</t>
  </si>
  <si>
    <t>P006</t>
  </si>
  <si>
    <t>USB Cable</t>
  </si>
  <si>
    <t>P007</t>
  </si>
  <si>
    <t>Office Chair</t>
  </si>
  <si>
    <t>P008</t>
  </si>
  <si>
    <t>Backpack</t>
  </si>
  <si>
    <t>Accessories</t>
  </si>
  <si>
    <t>In-Stock</t>
  </si>
  <si>
    <t>Low in Stock &lt;10</t>
  </si>
  <si>
    <t>Total</t>
  </si>
  <si>
    <t>Inventory Management System</t>
  </si>
  <si>
    <t>Summary</t>
  </si>
  <si>
    <t>Value</t>
  </si>
  <si>
    <t>Total Inventory Value</t>
  </si>
  <si>
    <t>Total Products</t>
  </si>
  <si>
    <t>Low Stock Items</t>
  </si>
  <si>
    <t>Highest Value Product</t>
  </si>
  <si>
    <t>Low Stock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</si>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</sst>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168" fontId="0" fillId="0" borderId="0" xfId="0" applyNumberFormat="1" applyBorder="1" applyAlignment="1">
      <alignment vertical="center" wrapText="1"/>
    </xf>
    <xf numFmtId="168" fontId="4" fillId="0" borderId="0" xfId="0" applyNumberFormat="1" applyFont="1" applyBorder="1" applyAlignment="1">
      <alignment vertical="center" wrapText="1"/>
    </xf>
    <xf numFmtId="168" fontId="4" fillId="0" borderId="0" xfId="0" applyNumberFormat="1" applyFont="1" applyBorder="1"/>
    <xf numFmtId="44" fontId="0" fillId="0" borderId="0" xfId="1" applyFont="1" applyBorder="1" applyAlignment="1">
      <alignment vertical="center" wrapText="1"/>
    </xf>
    <xf numFmtId="44" fontId="4" fillId="0" borderId="0" xfId="1" applyFont="1" applyBorder="1"/>
    <xf numFmtId="0" fontId="0" fillId="0" borderId="0" xfId="1" applyNumberFormat="1" applyFont="1" applyBorder="1" applyAlignment="1">
      <alignment vertical="center" wrapText="1"/>
    </xf>
    <xf numFmtId="0" fontId="4" fillId="0" borderId="0" xfId="1" applyNumberFormat="1" applyFont="1" applyBorder="1"/>
    <xf numFmtId="0" fontId="3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4" fontId="0" fillId="0" borderId="0" xfId="0" applyNumberFormat="1" applyAlignment="1">
      <alignment vertical="center" wrapText="1"/>
    </xf>
    <xf numFmtId="0" fontId="2" fillId="2" borderId="0" xfId="2" applyAlignment="1">
      <alignment horizontal="center"/>
    </xf>
    <xf numFmtId="0" fontId="4" fillId="0" borderId="0" xfId="0" applyNumberFormat="1" applyFont="1" applyBorder="1"/>
  </cellXfs>
  <cellStyles count="3">
    <cellStyle name="Bad" xfId="2" builtinId="27"/>
    <cellStyle name="Currency" xfId="1" builtinId="4"/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&quot;$&quot;#,##0.00"/>
      <alignment horizontal="general" vertical="center" textRotation="0" wrapText="1" indent="0" justifyLastLine="0" shrinkToFit="0" readingOrder="0"/>
    </dxf>
    <dxf>
      <numFmt numFmtId="168" formatCode="&quot;$&quot;#,##0.00"/>
      <alignment horizontal="general" vertical="center" textRotation="0" wrapText="1" indent="0" justifyLastLine="0" shrinkToFit="0" readingOrder="0"/>
    </dxf>
    <dxf>
      <numFmt numFmtId="168" formatCode="&quot;$&quot;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&quot;$&quot;#,##0.00"/>
      <alignment horizontal="general" vertical="center" textRotation="0" wrapText="1" indent="0" justifyLastLine="0" shrinkToFit="0" readingOrder="0"/>
    </dxf>
    <dxf>
      <numFmt numFmtId="168" formatCode="&quot;$&quot;#,##0.00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double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5CA7F-4498-45A3-AD91-1AA068B94211}" name="Table1" displayName="Table1" ref="A5:G14" totalsRowShown="0" headerRowDxfId="15" dataDxfId="10" tableBorderDxfId="16">
  <autoFilter ref="A5:G14" xr:uid="{E5A5CA7F-4498-45A3-AD91-1AA068B94211}"/>
  <tableColumns count="7">
    <tableColumn id="1" xr3:uid="{9A5FB3A9-97CD-4258-9F38-6E4081C25303}" name="Product ID" dataDxfId="14"/>
    <tableColumn id="2" xr3:uid="{1A8DD0D4-8FDD-42E8-9071-4B0DF3BDE1AF}" name="Product Name" dataDxfId="13"/>
    <tableColumn id="3" xr3:uid="{CF1884EF-C2C0-4A5E-9A50-A586D2F4C295}" name="Category" dataDxfId="9"/>
    <tableColumn id="4" xr3:uid="{47311904-A301-406E-97FE-175FDA25AC1C}" name="Stock Quantity" dataDxfId="7" dataCellStyle="Currency"/>
    <tableColumn id="5" xr3:uid="{C8C791C6-E970-43E2-BB49-F5812244325E}" name="Unit Price" dataDxfId="8" dataCellStyle="Currency"/>
    <tableColumn id="6" xr3:uid="{29BCC44E-CF36-40BC-93FE-A5BC9647C494}" name="Total Value" dataDxfId="12" dataCellStyle="Currency"/>
    <tableColumn id="7" xr3:uid="{FD76537E-C239-4904-BB3F-2EED755701AC}" name="Stock Status" dataDxfId="1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3114E-62D8-4C7E-B4B8-36E2DCA89292}">
  <dimension ref="A1:H21"/>
  <sheetViews>
    <sheetView tabSelected="1" workbookViewId="0">
      <selection activeCell="H3" sqref="H3"/>
    </sheetView>
  </sheetViews>
  <sheetFormatPr defaultRowHeight="14.5" x14ac:dyDescent="0.35"/>
  <cols>
    <col min="1" max="1" width="14.26953125" bestFit="1" customWidth="1"/>
    <col min="2" max="2" width="19.1796875" bestFit="1" customWidth="1"/>
    <col min="3" max="3" width="12.81640625" bestFit="1" customWidth="1"/>
    <col min="4" max="4" width="17.81640625" bestFit="1" customWidth="1"/>
    <col min="5" max="5" width="13.453125" bestFit="1" customWidth="1"/>
    <col min="6" max="6" width="14.81640625" bestFit="1" customWidth="1"/>
    <col min="7" max="7" width="15.6328125" bestFit="1" customWidth="1"/>
  </cols>
  <sheetData>
    <row r="1" spans="1:8" ht="29" thickBot="1" x14ac:dyDescent="0.4">
      <c r="A1" s="11" t="s">
        <v>30</v>
      </c>
      <c r="B1" s="12"/>
      <c r="C1" s="12"/>
      <c r="D1" s="12"/>
      <c r="E1" s="12"/>
      <c r="F1" s="12"/>
      <c r="G1" s="13"/>
    </row>
    <row r="3" spans="1:8" x14ac:dyDescent="0.35">
      <c r="A3" s="15" t="s">
        <v>28</v>
      </c>
      <c r="B3" s="15"/>
      <c r="H3" t="s">
        <v>38</v>
      </c>
    </row>
    <row r="5" spans="1:8" x14ac:dyDescent="0.3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8" x14ac:dyDescent="0.35">
      <c r="A6" s="3" t="s">
        <v>7</v>
      </c>
      <c r="B6" s="3" t="s">
        <v>8</v>
      </c>
      <c r="C6" s="3" t="s">
        <v>9</v>
      </c>
      <c r="D6" s="8">
        <v>15</v>
      </c>
      <c r="E6" s="6">
        <v>45.95</v>
      </c>
      <c r="F6" s="6">
        <f>E6*D6</f>
        <v>689.25</v>
      </c>
      <c r="G6" s="3" t="s">
        <v>27</v>
      </c>
    </row>
    <row r="7" spans="1:8" x14ac:dyDescent="0.35">
      <c r="A7" s="3" t="s">
        <v>10</v>
      </c>
      <c r="B7" s="3" t="s">
        <v>11</v>
      </c>
      <c r="C7" s="3" t="s">
        <v>9</v>
      </c>
      <c r="D7" s="8">
        <v>8</v>
      </c>
      <c r="E7" s="6">
        <v>19.989999999999998</v>
      </c>
      <c r="F7" s="6">
        <f t="shared" ref="F7:F13" si="0">E7*D7</f>
        <v>159.91999999999999</v>
      </c>
      <c r="G7" s="3" t="s">
        <v>37</v>
      </c>
    </row>
    <row r="8" spans="1:8" x14ac:dyDescent="0.35">
      <c r="A8" s="3" t="s">
        <v>12</v>
      </c>
      <c r="B8" s="3" t="s">
        <v>13</v>
      </c>
      <c r="C8" s="3" t="s">
        <v>14</v>
      </c>
      <c r="D8" s="8">
        <v>25</v>
      </c>
      <c r="E8" s="6">
        <v>5</v>
      </c>
      <c r="F8" s="6">
        <f t="shared" si="0"/>
        <v>125</v>
      </c>
      <c r="G8" s="3" t="s">
        <v>27</v>
      </c>
    </row>
    <row r="9" spans="1:8" x14ac:dyDescent="0.35">
      <c r="A9" s="3" t="s">
        <v>15</v>
      </c>
      <c r="B9" s="3" t="s">
        <v>16</v>
      </c>
      <c r="C9" s="3" t="s">
        <v>9</v>
      </c>
      <c r="D9" s="8">
        <v>3</v>
      </c>
      <c r="E9" s="6">
        <v>150</v>
      </c>
      <c r="F9" s="6">
        <f t="shared" si="0"/>
        <v>450</v>
      </c>
      <c r="G9" s="3" t="s">
        <v>37</v>
      </c>
    </row>
    <row r="10" spans="1:8" x14ac:dyDescent="0.35">
      <c r="A10" s="3" t="s">
        <v>17</v>
      </c>
      <c r="B10" s="3" t="s">
        <v>18</v>
      </c>
      <c r="C10" s="3" t="s">
        <v>19</v>
      </c>
      <c r="D10" s="8">
        <v>6</v>
      </c>
      <c r="E10" s="6">
        <v>38.67</v>
      </c>
      <c r="F10" s="6">
        <f t="shared" si="0"/>
        <v>232.02</v>
      </c>
      <c r="G10" s="3" t="s">
        <v>37</v>
      </c>
    </row>
    <row r="11" spans="1:8" x14ac:dyDescent="0.35">
      <c r="A11" s="3" t="s">
        <v>20</v>
      </c>
      <c r="B11" s="3" t="s">
        <v>21</v>
      </c>
      <c r="C11" s="3" t="s">
        <v>9</v>
      </c>
      <c r="D11" s="8">
        <v>18</v>
      </c>
      <c r="E11" s="6">
        <v>10</v>
      </c>
      <c r="F11" s="6">
        <f t="shared" si="0"/>
        <v>180</v>
      </c>
      <c r="G11" s="3" t="s">
        <v>27</v>
      </c>
    </row>
    <row r="12" spans="1:8" x14ac:dyDescent="0.35">
      <c r="A12" s="3" t="s">
        <v>22</v>
      </c>
      <c r="B12" s="3" t="s">
        <v>23</v>
      </c>
      <c r="C12" s="3" t="s">
        <v>19</v>
      </c>
      <c r="D12" s="8">
        <v>2</v>
      </c>
      <c r="E12" s="6">
        <v>120</v>
      </c>
      <c r="F12" s="6">
        <f t="shared" si="0"/>
        <v>240</v>
      </c>
      <c r="G12" s="3" t="s">
        <v>37</v>
      </c>
    </row>
    <row r="13" spans="1:8" x14ac:dyDescent="0.35">
      <c r="A13" s="3" t="s">
        <v>24</v>
      </c>
      <c r="B13" s="3" t="s">
        <v>25</v>
      </c>
      <c r="C13" s="3" t="s">
        <v>26</v>
      </c>
      <c r="D13" s="8">
        <v>9</v>
      </c>
      <c r="E13" s="6">
        <v>35</v>
      </c>
      <c r="F13" s="6">
        <f t="shared" si="0"/>
        <v>315</v>
      </c>
      <c r="G13" s="3" t="s">
        <v>37</v>
      </c>
    </row>
    <row r="14" spans="1:8" x14ac:dyDescent="0.35">
      <c r="A14" s="4" t="s">
        <v>29</v>
      </c>
      <c r="B14" s="16">
        <f>COUNTA(B6:B13)</f>
        <v>8</v>
      </c>
      <c r="C14" s="5"/>
      <c r="D14" s="9"/>
      <c r="E14" s="7"/>
      <c r="F14" s="7">
        <f>SUBTOTAL(109,F6:F13)</f>
        <v>2391.19</v>
      </c>
      <c r="G14" s="5"/>
    </row>
    <row r="17" spans="2:3" x14ac:dyDescent="0.35">
      <c r="B17" s="10" t="s">
        <v>31</v>
      </c>
      <c r="C17" s="10" t="s">
        <v>32</v>
      </c>
    </row>
    <row r="18" spans="2:3" x14ac:dyDescent="0.35">
      <c r="B18" s="1" t="s">
        <v>33</v>
      </c>
      <c r="C18" s="14">
        <v>2391.19</v>
      </c>
    </row>
    <row r="19" spans="2:3" x14ac:dyDescent="0.35">
      <c r="B19" s="1" t="s">
        <v>34</v>
      </c>
      <c r="C19" s="1">
        <v>86</v>
      </c>
    </row>
    <row r="20" spans="2:3" x14ac:dyDescent="0.35">
      <c r="B20" s="1" t="s">
        <v>35</v>
      </c>
      <c r="C20">
        <f>COUNTIF(G6:G13,"Low")</f>
        <v>0</v>
      </c>
    </row>
    <row r="21" spans="2:3" x14ac:dyDescent="0.35">
      <c r="B21" s="1" t="s">
        <v>36</v>
      </c>
      <c r="C21" s="14">
        <f>MAX(F6:F13)</f>
        <v>689.25</v>
      </c>
    </row>
  </sheetData>
  <mergeCells count="2">
    <mergeCell ref="A3:B3"/>
    <mergeCell ref="A1:G1"/>
  </mergeCells>
  <conditionalFormatting sqref="G6:G13">
    <cfRule type="containsText" dxfId="1" priority="1" operator="containsText" text="low">
      <formula>NOT(ISERROR(SEARCH("low",G6)))</formula>
    </cfRule>
    <cfRule type="containsText" dxfId="0" priority="2" operator="containsText" text="In-Stock">
      <formula>NOT(ISERROR(SEARCH("In-Stock",G6)))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C5FB7051-6D67-419D-8739-F63797D52EC1}">
            <xm:f>NOT(ISERROR(SEARCH($G$6,G5)))</xm:f>
            <xm:f>$G$6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2026-05-17T19:40:33Z</dcterms:created>
  <dcterms:modified xsi:type="dcterms:W3CDTF">2026-05-18T18:45:46Z</dcterms:modified>
</cp:coreProperties>
</file>