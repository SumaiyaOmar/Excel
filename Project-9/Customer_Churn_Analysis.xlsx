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mcstedusa-my.sharepoint.com/personal/221220359_student_um_edu_sa/Documents/سطح المكتب/"/>
    </mc:Choice>
  </mc:AlternateContent>
  <xr:revisionPtr revIDLastSave="767" documentId="8_{B1A01EC4-FDD4-4C46-9856-CA70108B3A6E}" xr6:coauthVersionLast="47" xr6:coauthVersionMax="47" xr10:uidLastSave="{9E97304D-02A6-46B6-9F34-47AE9B6D68BB}"/>
  <bookViews>
    <workbookView xWindow="0" yWindow="0" windowWidth="19200" windowHeight="12000" activeTab="3" xr2:uid="{8E9D28DB-69F8-42B8-8310-A7C4DD64DF43}"/>
  </bookViews>
  <sheets>
    <sheet name="RawData" sheetId="4" r:id="rId1"/>
    <sheet name="CleanData" sheetId="2" r:id="rId2"/>
    <sheet name="Analysis" sheetId="3" r:id="rId3"/>
    <sheet name="Dashboard" sheetId="1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5" i="1" l="1"/>
  <c r="O24" i="1"/>
  <c r="O19" i="1"/>
  <c r="O20" i="1"/>
  <c r="O18" i="1"/>
  <c r="O13" i="1"/>
  <c r="O14" i="1"/>
  <c r="O12" i="1"/>
  <c r="O7" i="1"/>
  <c r="O8" i="1"/>
  <c r="O6" i="1"/>
  <c r="I5" i="1"/>
  <c r="G5" i="1"/>
  <c r="E5" i="1"/>
  <c r="C5" i="1"/>
  <c r="A5" i="1"/>
  <c r="B3" i="3"/>
  <c r="B4" i="3"/>
  <c r="B41" i="2"/>
  <c r="C41" i="2"/>
  <c r="D41" i="2"/>
  <c r="E41" i="2"/>
  <c r="F41" i="2"/>
  <c r="G41" i="2"/>
  <c r="H41" i="2"/>
  <c r="N41" i="2" s="1"/>
  <c r="I41" i="2"/>
  <c r="J41" i="2"/>
  <c r="K41" i="2"/>
  <c r="L41" i="2"/>
  <c r="M41" i="2" s="1"/>
  <c r="A4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L2" i="2"/>
  <c r="M2" i="2" s="1"/>
  <c r="L3" i="2"/>
  <c r="M3" i="2" s="1"/>
  <c r="E4" i="3" s="1"/>
  <c r="L4" i="2"/>
  <c r="M4" i="2" s="1"/>
  <c r="L5" i="2"/>
  <c r="M5" i="2" s="1"/>
  <c r="E5" i="3" s="1"/>
  <c r="L6" i="2"/>
  <c r="M6" i="2" s="1"/>
  <c r="L7" i="2"/>
  <c r="M7" i="2" s="1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L30" i="2"/>
  <c r="M30" i="2" s="1"/>
  <c r="L31" i="2"/>
  <c r="M31" i="2" s="1"/>
  <c r="L32" i="2"/>
  <c r="M32" i="2" s="1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39" i="2"/>
  <c r="M39" i="2" s="1"/>
  <c r="L40" i="2"/>
  <c r="M40" i="2" s="1"/>
  <c r="K2" i="2"/>
  <c r="B9" i="3" s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I2" i="2"/>
  <c r="K5" i="3" s="1"/>
  <c r="I3" i="2"/>
  <c r="I4" i="2"/>
  <c r="I5" i="2"/>
  <c r="I6" i="2"/>
  <c r="K4" i="3" s="1"/>
  <c r="I7" i="2"/>
  <c r="I8" i="2"/>
  <c r="I9" i="2"/>
  <c r="J4" i="3" s="1"/>
  <c r="L4" i="3" s="1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H2" i="2"/>
  <c r="N2" i="2" s="1"/>
  <c r="B15" i="3" s="1"/>
  <c r="H3" i="2"/>
  <c r="N3" i="2" s="1"/>
  <c r="H4" i="2"/>
  <c r="N4" i="2" s="1"/>
  <c r="H5" i="2"/>
  <c r="N5" i="2" s="1"/>
  <c r="H6" i="2"/>
  <c r="N6" i="2" s="1"/>
  <c r="H7" i="2"/>
  <c r="N7" i="2" s="1"/>
  <c r="H8" i="2"/>
  <c r="N8" i="2" s="1"/>
  <c r="H9" i="2"/>
  <c r="N9" i="2" s="1"/>
  <c r="H10" i="2"/>
  <c r="N10" i="2" s="1"/>
  <c r="H11" i="2"/>
  <c r="N11" i="2" s="1"/>
  <c r="H12" i="2"/>
  <c r="N12" i="2" s="1"/>
  <c r="H13" i="2"/>
  <c r="N13" i="2" s="1"/>
  <c r="H14" i="2"/>
  <c r="N14" i="2" s="1"/>
  <c r="H15" i="2"/>
  <c r="N15" i="2" s="1"/>
  <c r="H16" i="2"/>
  <c r="N16" i="2" s="1"/>
  <c r="H17" i="2"/>
  <c r="N17" i="2" s="1"/>
  <c r="H18" i="2"/>
  <c r="N18" i="2" s="1"/>
  <c r="H19" i="2"/>
  <c r="N19" i="2" s="1"/>
  <c r="H20" i="2"/>
  <c r="N20" i="2" s="1"/>
  <c r="H21" i="2"/>
  <c r="N21" i="2" s="1"/>
  <c r="H22" i="2"/>
  <c r="N22" i="2" s="1"/>
  <c r="H23" i="2"/>
  <c r="N23" i="2" s="1"/>
  <c r="H24" i="2"/>
  <c r="N24" i="2" s="1"/>
  <c r="H25" i="2"/>
  <c r="N25" i="2" s="1"/>
  <c r="H26" i="2"/>
  <c r="N26" i="2" s="1"/>
  <c r="H27" i="2"/>
  <c r="N27" i="2" s="1"/>
  <c r="H28" i="2"/>
  <c r="N28" i="2" s="1"/>
  <c r="H29" i="2"/>
  <c r="N29" i="2" s="1"/>
  <c r="H30" i="2"/>
  <c r="N30" i="2" s="1"/>
  <c r="H31" i="2"/>
  <c r="N31" i="2" s="1"/>
  <c r="H32" i="2"/>
  <c r="N32" i="2" s="1"/>
  <c r="H33" i="2"/>
  <c r="N33" i="2" s="1"/>
  <c r="H34" i="2"/>
  <c r="N34" i="2" s="1"/>
  <c r="H35" i="2"/>
  <c r="N35" i="2" s="1"/>
  <c r="H36" i="2"/>
  <c r="N36" i="2" s="1"/>
  <c r="H37" i="2"/>
  <c r="N37" i="2" s="1"/>
  <c r="H38" i="2"/>
  <c r="N38" i="2" s="1"/>
  <c r="H39" i="2"/>
  <c r="N39" i="2" s="1"/>
  <c r="H40" i="2"/>
  <c r="N40" i="2" s="1"/>
  <c r="G2" i="2"/>
  <c r="B7" i="3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F2" i="2"/>
  <c r="E3" i="3" s="1"/>
  <c r="G3" i="3" s="1"/>
  <c r="F3" i="2"/>
  <c r="F4" i="2"/>
  <c r="F5" i="2"/>
  <c r="F6" i="2"/>
  <c r="F7" i="2"/>
  <c r="F8" i="2"/>
  <c r="F9" i="2"/>
  <c r="F3" i="3" s="1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C2" i="2"/>
  <c r="H15" i="3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B6" i="3" l="1"/>
  <c r="B5" i="3"/>
  <c r="J3" i="3"/>
  <c r="L3" i="3" s="1"/>
  <c r="C14" i="3"/>
  <c r="J5" i="3"/>
  <c r="L5" i="3" s="1"/>
  <c r="C16" i="3"/>
  <c r="C15" i="3"/>
  <c r="D15" i="3" s="1"/>
  <c r="K3" i="3"/>
  <c r="G14" i="3"/>
  <c r="I14" i="3" s="1"/>
  <c r="G15" i="3"/>
  <c r="I15" i="3" s="1"/>
  <c r="H14" i="3"/>
  <c r="F4" i="3"/>
  <c r="G4" i="3" s="1"/>
  <c r="F5" i="3"/>
  <c r="G5" i="3" s="1"/>
  <c r="B21" i="3"/>
  <c r="B8" i="3"/>
  <c r="B14" i="3"/>
  <c r="D14" i="3" s="1"/>
  <c r="B16" i="3"/>
  <c r="D16" i="3" s="1"/>
  <c r="B22" i="3"/>
</calcChain>
</file>

<file path=xl/sharedStrings.xml><?xml version="1.0" encoding="utf-8"?>
<sst xmlns="http://schemas.openxmlformats.org/spreadsheetml/2006/main" count="465" uniqueCount="154">
  <si>
    <t>Customer ID</t>
  </si>
  <si>
    <t>Customer Name</t>
  </si>
  <si>
    <t>Gender</t>
  </si>
  <si>
    <t>Age</t>
  </si>
  <si>
    <t>Location</t>
  </si>
  <si>
    <t>Subscription</t>
  </si>
  <si>
    <t>Monthly Charges</t>
  </si>
  <si>
    <t>Tenure Months</t>
  </si>
  <si>
    <t>Contract Type</t>
  </si>
  <si>
    <t>Payment Method</t>
  </si>
  <si>
    <t>Support Calls</t>
  </si>
  <si>
    <t>Churn</t>
  </si>
  <si>
    <t>C001</t>
  </si>
  <si>
    <t>John Smith</t>
  </si>
  <si>
    <t>Male</t>
  </si>
  <si>
    <t>New York</t>
  </si>
  <si>
    <t>Premium</t>
  </si>
  <si>
    <t>Two Year</t>
  </si>
  <si>
    <t>Credit Card</t>
  </si>
  <si>
    <t>No</t>
  </si>
  <si>
    <t>C002</t>
  </si>
  <si>
    <t>Sarah Johnson</t>
  </si>
  <si>
    <t>Female</t>
  </si>
  <si>
    <t>California</t>
  </si>
  <si>
    <t>Standard</t>
  </si>
  <si>
    <t>Monthly</t>
  </si>
  <si>
    <t>Bank Transfer</t>
  </si>
  <si>
    <t>Yes</t>
  </si>
  <si>
    <t>C003</t>
  </si>
  <si>
    <t>Michael Brown</t>
  </si>
  <si>
    <t>Texas</t>
  </si>
  <si>
    <t>Basic</t>
  </si>
  <si>
    <t>C004</t>
  </si>
  <si>
    <t>Emily Davis</t>
  </si>
  <si>
    <t>Florida</t>
  </si>
  <si>
    <t>One Year</t>
  </si>
  <si>
    <t>PayPal</t>
  </si>
  <si>
    <t>C005</t>
  </si>
  <si>
    <t>David Wilson</t>
  </si>
  <si>
    <t>C006</t>
  </si>
  <si>
    <t>Jessica Miller</t>
  </si>
  <si>
    <t>Illinois</t>
  </si>
  <si>
    <t>C007</t>
  </si>
  <si>
    <t>Daniel Moore</t>
  </si>
  <si>
    <t>C008</t>
  </si>
  <si>
    <t>Ashley Taylor</t>
  </si>
  <si>
    <t>C009</t>
  </si>
  <si>
    <t>Christopher Anderson</t>
  </si>
  <si>
    <t>C010</t>
  </si>
  <si>
    <t>Amanda Thomas</t>
  </si>
  <si>
    <t>C011</t>
  </si>
  <si>
    <t>Matthew Jackson</t>
  </si>
  <si>
    <t>C012</t>
  </si>
  <si>
    <t>Jennifer White</t>
  </si>
  <si>
    <t>C013</t>
  </si>
  <si>
    <t>Joshua Harris</t>
  </si>
  <si>
    <t>C014</t>
  </si>
  <si>
    <t>Elizabeth Martin</t>
  </si>
  <si>
    <t>C015</t>
  </si>
  <si>
    <t>Andrew Thompson</t>
  </si>
  <si>
    <t>C016</t>
  </si>
  <si>
    <t>Samantha Garcia</t>
  </si>
  <si>
    <t>C017</t>
  </si>
  <si>
    <t>Ryan Martinez</t>
  </si>
  <si>
    <t>C018</t>
  </si>
  <si>
    <t>Stephanie Robinson</t>
  </si>
  <si>
    <t>C019</t>
  </si>
  <si>
    <t>Kevin Clark</t>
  </si>
  <si>
    <t>C020</t>
  </si>
  <si>
    <t>Nicole Rodriguez</t>
  </si>
  <si>
    <t>C021</t>
  </si>
  <si>
    <t>Brian Lewis</t>
  </si>
  <si>
    <t>C022</t>
  </si>
  <si>
    <t>Rachel Lee</t>
  </si>
  <si>
    <t>C023</t>
  </si>
  <si>
    <t>Jason Walker</t>
  </si>
  <si>
    <t>C024</t>
  </si>
  <si>
    <t>Lauren Hall</t>
  </si>
  <si>
    <t>C025</t>
  </si>
  <si>
    <t>Justin Allen</t>
  </si>
  <si>
    <t>C026</t>
  </si>
  <si>
    <t>Megan Young</t>
  </si>
  <si>
    <t>C027</t>
  </si>
  <si>
    <t>Brandon Hernandez</t>
  </si>
  <si>
    <t>C028</t>
  </si>
  <si>
    <t>Olivia King</t>
  </si>
  <si>
    <t>C029</t>
  </si>
  <si>
    <t>Tyler Wright</t>
  </si>
  <si>
    <t>C030</t>
  </si>
  <si>
    <t>Hannah Lopez</t>
  </si>
  <si>
    <t>C031</t>
  </si>
  <si>
    <t>Eric Hill</t>
  </si>
  <si>
    <t>C032</t>
  </si>
  <si>
    <t>Grace Scott</t>
  </si>
  <si>
    <t>C033</t>
  </si>
  <si>
    <t>Steven Green</t>
  </si>
  <si>
    <t>C034</t>
  </si>
  <si>
    <t>Chloe Adams</t>
  </si>
  <si>
    <t>C035</t>
  </si>
  <si>
    <t>Nathan Baker</t>
  </si>
  <si>
    <t>C036</t>
  </si>
  <si>
    <t>Lily Nelson</t>
  </si>
  <si>
    <t>C037</t>
  </si>
  <si>
    <t>Adam Carter</t>
  </si>
  <si>
    <t>C038</t>
  </si>
  <si>
    <t>Zoe Mitchell</t>
  </si>
  <si>
    <t>C039</t>
  </si>
  <si>
    <t>Jacob Perez</t>
  </si>
  <si>
    <t>C040</t>
  </si>
  <si>
    <t>Mia Roberts</t>
  </si>
  <si>
    <t>C041</t>
  </si>
  <si>
    <t>Churn status</t>
  </si>
  <si>
    <t>Customer segment</t>
  </si>
  <si>
    <t>Sam Tsui</t>
  </si>
  <si>
    <t>New Jersey</t>
  </si>
  <si>
    <t>Key Matrics</t>
  </si>
  <si>
    <t>Metric</t>
  </si>
  <si>
    <t>Value</t>
  </si>
  <si>
    <t>Total Customers</t>
  </si>
  <si>
    <t>Churned Customers</t>
  </si>
  <si>
    <t>Active Customers</t>
  </si>
  <si>
    <t>Overall Churn Rate</t>
  </si>
  <si>
    <t>Average Monthly Charges</t>
  </si>
  <si>
    <t>Average Tenure</t>
  </si>
  <si>
    <t>Average Support Calls</t>
  </si>
  <si>
    <t>Churn By Subscription</t>
  </si>
  <si>
    <t>Churn Rate</t>
  </si>
  <si>
    <t>Churned</t>
  </si>
  <si>
    <t>Total</t>
  </si>
  <si>
    <t>Churn by Customer Segment</t>
  </si>
  <si>
    <t>Customer Segment</t>
  </si>
  <si>
    <t>New</t>
  </si>
  <si>
    <t>Established</t>
  </si>
  <si>
    <t>Loyal</t>
  </si>
  <si>
    <t>Churn by Gender</t>
  </si>
  <si>
    <t>Average Charges: Churned vs Active</t>
  </si>
  <si>
    <t>Status</t>
  </si>
  <si>
    <t>Active</t>
  </si>
  <si>
    <t>Row Labels</t>
  </si>
  <si>
    <t>Grand Total</t>
  </si>
  <si>
    <t>Column Labels</t>
  </si>
  <si>
    <t>Count of Customer ID</t>
  </si>
  <si>
    <t>Customer Churn Analysis Dashboard</t>
  </si>
  <si>
    <t>Churn rate by Subscription</t>
  </si>
  <si>
    <t>Churn rate by Contract Type</t>
  </si>
  <si>
    <t>Churn By Contract Type</t>
  </si>
  <si>
    <t>Churn rate by Customer Segment</t>
  </si>
  <si>
    <t>Churn rate by Gender</t>
  </si>
  <si>
    <t>Key Insights</t>
  </si>
  <si>
    <t>Overall churn rate is 40%</t>
  </si>
  <si>
    <t>Monthly contract customers have the highest churn rate at 100%.</t>
  </si>
  <si>
    <t>Standard subscription customers have the highest subscription churn rate at 57%.</t>
  </si>
  <si>
    <t>New customers have the highest churn rate among customer segments at 100%.</t>
  </si>
  <si>
    <t>Female customers have a higher churn rate than male customers (50% vs. 30%).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</si>
</sst>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1"/>
      <color rgb="FFFFFFFF"/>
      <name val="Aptos Narrow"/>
      <family val="2"/>
      <scheme val="minor"/>
    </font>
    <font>
      <b/>
      <sz val="22"/>
      <color theme="0"/>
      <name val="Arial"/>
      <family val="2"/>
    </font>
    <font>
      <b/>
      <sz val="16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0F9ED5"/>
        <bgColor rgb="FF0F9ED5"/>
      </patternFill>
    </fill>
  </fills>
  <borders count="11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7" tint="0.39997558519241921"/>
      </left>
      <right/>
      <top/>
      <bottom/>
      <diagonal/>
    </border>
    <border>
      <left style="thin">
        <color rgb="FF61CBF3"/>
      </left>
      <right/>
      <top style="thin">
        <color rgb="FF61CBF3"/>
      </top>
      <bottom style="thin">
        <color rgb="FF61CBF3"/>
      </bottom>
      <diagonal/>
    </border>
    <border>
      <left/>
      <right/>
      <top style="thin">
        <color rgb="FF61CBF3"/>
      </top>
      <bottom style="thin">
        <color rgb="FF61CB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44" fontId="0" fillId="0" borderId="0" xfId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1" fillId="0" borderId="0" xfId="0" applyNumberFormat="1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4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4" fontId="3" fillId="0" borderId="0" xfId="1" applyFont="1" applyAlignment="1">
      <alignment vertical="center" wrapText="1"/>
    </xf>
    <xf numFmtId="0" fontId="3" fillId="0" borderId="0" xfId="0" applyFont="1"/>
    <xf numFmtId="44" fontId="3" fillId="0" borderId="0" xfId="0" applyNumberFormat="1" applyFont="1"/>
    <xf numFmtId="9" fontId="3" fillId="0" borderId="0" xfId="2" applyFont="1"/>
    <xf numFmtId="44" fontId="3" fillId="0" borderId="0" xfId="0" applyNumberFormat="1" applyFont="1" applyAlignment="1">
      <alignment vertical="center" wrapText="1"/>
    </xf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3" fillId="0" borderId="0" xfId="2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9" fontId="0" fillId="0" borderId="0" xfId="0" applyNumberFormat="1"/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0" borderId="9" xfId="0" applyBorder="1"/>
    <xf numFmtId="9" fontId="0" fillId="0" borderId="9" xfId="0" applyNumberFormat="1" applyBorder="1"/>
    <xf numFmtId="44" fontId="0" fillId="0" borderId="9" xfId="0" applyNumberForma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3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7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7" tint="0.39997558519241921"/>
        </left>
        <right style="thin">
          <color theme="7" tint="0.3999755851924192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Subscription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Dashboard!$O$4:$O$5</c:f>
              <c:strCache>
                <c:ptCount val="2"/>
                <c:pt idx="0">
                  <c:v>Churn rate by Subscription</c:v>
                </c:pt>
                <c:pt idx="1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Dashboard!$N$6:$N$8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Dashboard!$O$6:$O$8</c:f>
              <c:numCache>
                <c:formatCode>0%</c:formatCode>
                <c:ptCount val="3"/>
                <c:pt idx="0">
                  <c:v>0.5</c:v>
                </c:pt>
                <c:pt idx="1">
                  <c:v>0.5714285714285714</c:v>
                </c:pt>
                <c:pt idx="2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2-43CE-BAF5-4D4E11097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6119936"/>
        <c:axId val="1151752496"/>
      </c:barChart>
      <c:catAx>
        <c:axId val="108611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752496"/>
        <c:crosses val="autoZero"/>
        <c:auto val="1"/>
        <c:lblAlgn val="ctr"/>
        <c:lblOffset val="100"/>
        <c:noMultiLvlLbl val="0"/>
      </c:catAx>
      <c:valAx>
        <c:axId val="115175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11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Contract Type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Dashboard!$O$10:$O$11</c:f>
              <c:strCache>
                <c:ptCount val="2"/>
                <c:pt idx="0">
                  <c:v>Churn rate by Contract Type</c:v>
                </c:pt>
                <c:pt idx="1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Dashboard!$N$12:$N$14</c:f>
              <c:strCache>
                <c:ptCount val="3"/>
                <c:pt idx="0">
                  <c:v>Monthly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Dashboard!$O$12:$O$14</c:f>
              <c:numCache>
                <c:formatCode>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9-46AA-9F82-B4D64C67A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6157984"/>
        <c:axId val="1151767856"/>
      </c:barChart>
      <c:catAx>
        <c:axId val="108615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767856"/>
        <c:crosses val="autoZero"/>
        <c:auto val="1"/>
        <c:lblAlgn val="ctr"/>
        <c:lblOffset val="100"/>
        <c:noMultiLvlLbl val="0"/>
      </c:catAx>
      <c:valAx>
        <c:axId val="115176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15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Customer Segment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Dashboard!$O$16:$O$17</c:f>
              <c:strCache>
                <c:ptCount val="2"/>
                <c:pt idx="0">
                  <c:v>Churn rate by Customer Segment</c:v>
                </c:pt>
                <c:pt idx="1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Dashboard!$N$18:$N$20</c:f>
              <c:strCache>
                <c:ptCount val="3"/>
                <c:pt idx="0">
                  <c:v>New</c:v>
                </c:pt>
                <c:pt idx="1">
                  <c:v>Established</c:v>
                </c:pt>
                <c:pt idx="2">
                  <c:v>Loyal</c:v>
                </c:pt>
              </c:strCache>
            </c:strRef>
          </c:cat>
          <c:val>
            <c:numRef>
              <c:f>Dashboard!$O$18:$O$20</c:f>
              <c:numCache>
                <c:formatCode>0%</c:formatCode>
                <c:ptCount val="3"/>
                <c:pt idx="0">
                  <c:v>1</c:v>
                </c:pt>
                <c:pt idx="1">
                  <c:v>0.33333333333333331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9-4218-81AF-ED71FDE86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1972464"/>
        <c:axId val="1151757296"/>
      </c:barChart>
      <c:catAx>
        <c:axId val="108197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757296"/>
        <c:crosses val="autoZero"/>
        <c:auto val="1"/>
        <c:lblAlgn val="ctr"/>
        <c:lblOffset val="100"/>
        <c:noMultiLvlLbl val="0"/>
      </c:catAx>
      <c:valAx>
        <c:axId val="115175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97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Gender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Dashboard!$O$22:$O$23</c:f>
              <c:strCache>
                <c:ptCount val="2"/>
                <c:pt idx="0">
                  <c:v>Churn rate by Gender</c:v>
                </c:pt>
                <c:pt idx="1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Dashboard!$N$24:$N$25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Dashboard!$O$24:$O$25</c:f>
              <c:numCache>
                <c:formatCode>0%</c:formatCode>
                <c:ptCount val="2"/>
                <c:pt idx="0">
                  <c:v>0.3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A-4B97-B186-6A5AAABE5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697952"/>
        <c:axId val="1151800016"/>
      </c:barChart>
      <c:catAx>
        <c:axId val="66269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800016"/>
        <c:crosses val="autoZero"/>
        <c:auto val="1"/>
        <c:lblAlgn val="ctr"/>
        <c:lblOffset val="100"/>
        <c:noMultiLvlLbl val="0"/>
      </c:catAx>
      <c:valAx>
        <c:axId val="115180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69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6</xdr:row>
      <xdr:rowOff>182009</xdr:rowOff>
    </xdr:from>
    <xdr:to>
      <xdr:col>4</xdr:col>
      <xdr:colOff>753140</xdr:colOff>
      <xdr:row>20</xdr:row>
      <xdr:rowOff>26438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2EF963-1875-001C-9EB4-B4044C5B2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493</xdr:colOff>
      <xdr:row>7</xdr:row>
      <xdr:rowOff>1772</xdr:rowOff>
    </xdr:from>
    <xdr:to>
      <xdr:col>9</xdr:col>
      <xdr:colOff>590205</xdr:colOff>
      <xdr:row>20</xdr:row>
      <xdr:rowOff>7384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5F7BE7-6E0B-4901-41FC-2C9362BF3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14766</xdr:colOff>
      <xdr:row>21</xdr:row>
      <xdr:rowOff>16909</xdr:rowOff>
    </xdr:from>
    <xdr:to>
      <xdr:col>4</xdr:col>
      <xdr:colOff>790057</xdr:colOff>
      <xdr:row>35</xdr:row>
      <xdr:rowOff>71254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6A8908-73E2-A7E9-C334-680E488F3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4281</xdr:colOff>
      <xdr:row>21</xdr:row>
      <xdr:rowOff>49476</xdr:rowOff>
    </xdr:from>
    <xdr:to>
      <xdr:col>9</xdr:col>
      <xdr:colOff>602179</xdr:colOff>
      <xdr:row>35</xdr:row>
      <xdr:rowOff>84842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6E50AC-A2C3-1D84-F199-D7CF16889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aiya Omar" refreshedDate="46249.044691319446" createdVersion="8" refreshedVersion="8" minRefreshableVersion="3" recordCount="40" xr:uid="{F4D771BF-427A-4684-916B-1115CAD8E900}">
  <cacheSource type="worksheet">
    <worksheetSource name="Table2"/>
  </cacheSource>
  <cacheFields count="14">
    <cacheField name="Customer ID" numFmtId="0">
      <sharedItems/>
    </cacheField>
    <cacheField name="Customer 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23" maxValue="53"/>
    </cacheField>
    <cacheField name="Location" numFmtId="0">
      <sharedItems/>
    </cacheField>
    <cacheField name="Subscription" numFmtId="0">
      <sharedItems count="3">
        <s v="Premium"/>
        <s v="Standard"/>
        <s v="Basic"/>
      </sharedItems>
    </cacheField>
    <cacheField name="Monthly Charges" numFmtId="44">
      <sharedItems containsSemiMixedTypes="0" containsString="0" containsNumber="1" minValue="24.99" maxValue="91.99"/>
    </cacheField>
    <cacheField name="Tenure Months" numFmtId="0">
      <sharedItems containsSemiMixedTypes="0" containsString="0" containsNumber="1" containsInteger="1" minValue="1" maxValue="48"/>
    </cacheField>
    <cacheField name="Contract Type" numFmtId="0">
      <sharedItems count="3">
        <s v="Two Year"/>
        <s v="Monthly"/>
        <s v="One Year"/>
      </sharedItems>
    </cacheField>
    <cacheField name="Payment Method" numFmtId="0">
      <sharedItems/>
    </cacheField>
    <cacheField name="Support Calls" numFmtId="0">
      <sharedItems containsSemiMixedTypes="0" containsString="0" containsNumber="1" containsInteger="1" minValue="0" maxValue="8"/>
    </cacheField>
    <cacheField name="Churn" numFmtId="0">
      <sharedItems/>
    </cacheField>
    <cacheField name="Churn status" numFmtId="0">
      <sharedItems count="2">
        <s v="Active"/>
        <s v="Churned"/>
      </sharedItems>
    </cacheField>
    <cacheField name="Customer segment" numFmtId="0">
      <sharedItems count="3">
        <s v="Established"/>
        <s v="Loyal"/>
        <s v="Ne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C001"/>
    <s v="John Smith"/>
    <s v="Male"/>
    <n v="28"/>
    <s v="New York"/>
    <x v="0"/>
    <n v="79.989999999999995"/>
    <n v="24"/>
    <x v="0"/>
    <s v="Credit Card"/>
    <n v="1"/>
    <s v="No"/>
    <x v="0"/>
    <x v="0"/>
  </r>
  <r>
    <s v="C002"/>
    <s v="Sarah Johnson"/>
    <s v="Female"/>
    <n v="35"/>
    <s v="California"/>
    <x v="1"/>
    <n v="49.99"/>
    <n v="8"/>
    <x v="1"/>
    <s v="Bank Transfer"/>
    <n v="4"/>
    <s v="Yes"/>
    <x v="1"/>
    <x v="0"/>
  </r>
  <r>
    <s v="C003"/>
    <s v="Michael Brown"/>
    <s v="Male"/>
    <n v="42"/>
    <s v="Texas"/>
    <x v="2"/>
    <n v="29.99"/>
    <n v="36"/>
    <x v="0"/>
    <s v="Credit Card"/>
    <n v="0"/>
    <s v="No"/>
    <x v="0"/>
    <x v="1"/>
  </r>
  <r>
    <s v="C004"/>
    <s v="Emily Davis"/>
    <s v="Female"/>
    <n v="31"/>
    <s v="Florida"/>
    <x v="0"/>
    <n v="84.99"/>
    <n v="18"/>
    <x v="2"/>
    <s v="PayPal"/>
    <n v="2"/>
    <s v="No"/>
    <x v="0"/>
    <x v="0"/>
  </r>
  <r>
    <s v="C005"/>
    <s v="David Wilson"/>
    <s v="Male"/>
    <n v="24"/>
    <s v="New York"/>
    <x v="2"/>
    <n v="24.99"/>
    <n v="4"/>
    <x v="1"/>
    <s v="Credit Card"/>
    <n v="5"/>
    <s v="Yes"/>
    <x v="1"/>
    <x v="2"/>
  </r>
  <r>
    <s v="C006"/>
    <s v="Jessica Miller"/>
    <s v="Female"/>
    <n v="39"/>
    <s v="Illinois"/>
    <x v="1"/>
    <n v="54.99"/>
    <n v="15"/>
    <x v="2"/>
    <s v="Bank Transfer"/>
    <n v="2"/>
    <s v="No"/>
    <x v="0"/>
    <x v="0"/>
  </r>
  <r>
    <s v="C007"/>
    <s v="Daniel Moore"/>
    <s v="Male"/>
    <n v="51"/>
    <s v="Texas"/>
    <x v="0"/>
    <n v="89.99"/>
    <n v="42"/>
    <x v="0"/>
    <s v="Credit Card"/>
    <n v="1"/>
    <s v="No"/>
    <x v="0"/>
    <x v="1"/>
  </r>
  <r>
    <s v="C008"/>
    <s v="Ashley Taylor"/>
    <s v="Female"/>
    <n v="27"/>
    <s v="California"/>
    <x v="2"/>
    <n v="27.99"/>
    <n v="6"/>
    <x v="1"/>
    <s v="PayPal"/>
    <n v="6"/>
    <s v="Yes"/>
    <x v="1"/>
    <x v="2"/>
  </r>
  <r>
    <s v="C009"/>
    <s v="Christopher Anderson"/>
    <s v="Male"/>
    <n v="45"/>
    <s v="Florida"/>
    <x v="1"/>
    <n v="52.99"/>
    <n v="20"/>
    <x v="2"/>
    <s v="Credit Card"/>
    <n v="2"/>
    <s v="No"/>
    <x v="0"/>
    <x v="0"/>
  </r>
  <r>
    <s v="C010"/>
    <s v="Amanda Thomas"/>
    <s v="Female"/>
    <n v="33"/>
    <s v="New York"/>
    <x v="0"/>
    <n v="74.989999999999995"/>
    <n v="10"/>
    <x v="1"/>
    <s v="Bank Transfer"/>
    <n v="5"/>
    <s v="Yes"/>
    <x v="1"/>
    <x v="0"/>
  </r>
  <r>
    <s v="C011"/>
    <s v="Matthew Jackson"/>
    <s v="Male"/>
    <n v="29"/>
    <s v="California"/>
    <x v="1"/>
    <n v="47.99"/>
    <n v="28"/>
    <x v="0"/>
    <s v="Credit Card"/>
    <n v="1"/>
    <s v="No"/>
    <x v="0"/>
    <x v="1"/>
  </r>
  <r>
    <s v="C012"/>
    <s v="Jennifer White"/>
    <s v="Female"/>
    <n v="46"/>
    <s v="Texas"/>
    <x v="2"/>
    <n v="31.99"/>
    <n v="3"/>
    <x v="1"/>
    <s v="PayPal"/>
    <n v="7"/>
    <s v="Yes"/>
    <x v="1"/>
    <x v="2"/>
  </r>
  <r>
    <s v="C013"/>
    <s v="Joshua Harris"/>
    <s v="Male"/>
    <n v="37"/>
    <s v="Illinois"/>
    <x v="0"/>
    <n v="82.99"/>
    <n v="31"/>
    <x v="0"/>
    <s v="Credit Card"/>
    <n v="0"/>
    <s v="No"/>
    <x v="0"/>
    <x v="1"/>
  </r>
  <r>
    <s v="C014"/>
    <s v="Elizabeth Martin"/>
    <s v="Female"/>
    <n v="41"/>
    <s v="Florida"/>
    <x v="1"/>
    <n v="51.99"/>
    <n v="14"/>
    <x v="2"/>
    <s v="Bank Transfer"/>
    <n v="3"/>
    <s v="No"/>
    <x v="0"/>
    <x v="0"/>
  </r>
  <r>
    <s v="C015"/>
    <s v="Andrew Thompson"/>
    <s v="Male"/>
    <n v="26"/>
    <s v="New York"/>
    <x v="2"/>
    <n v="26.99"/>
    <n v="5"/>
    <x v="1"/>
    <s v="Credit Card"/>
    <n v="6"/>
    <s v="Yes"/>
    <x v="1"/>
    <x v="2"/>
  </r>
  <r>
    <s v="C016"/>
    <s v="Samantha Garcia"/>
    <s v="Female"/>
    <n v="34"/>
    <s v="California"/>
    <x v="0"/>
    <n v="78.989999999999995"/>
    <n v="22"/>
    <x v="2"/>
    <s v="PayPal"/>
    <n v="1"/>
    <s v="No"/>
    <x v="0"/>
    <x v="0"/>
  </r>
  <r>
    <s v="C017"/>
    <s v="Ryan Martinez"/>
    <s v="Male"/>
    <n v="49"/>
    <s v="Texas"/>
    <x v="1"/>
    <n v="55.99"/>
    <n v="7"/>
    <x v="1"/>
    <s v="Bank Transfer"/>
    <n v="5"/>
    <s v="Yes"/>
    <x v="1"/>
    <x v="0"/>
  </r>
  <r>
    <s v="C018"/>
    <s v="Stephanie Robinson"/>
    <s v="Female"/>
    <n v="30"/>
    <s v="Illinois"/>
    <x v="2"/>
    <n v="28.99"/>
    <n v="19"/>
    <x v="2"/>
    <s v="Credit Card"/>
    <n v="2"/>
    <s v="No"/>
    <x v="0"/>
    <x v="0"/>
  </r>
  <r>
    <s v="C019"/>
    <s v="Kevin Clark"/>
    <s v="Male"/>
    <n v="44"/>
    <s v="Florida"/>
    <x v="0"/>
    <n v="86.99"/>
    <n v="38"/>
    <x v="0"/>
    <s v="Credit Card"/>
    <n v="1"/>
    <s v="No"/>
    <x v="0"/>
    <x v="1"/>
  </r>
  <r>
    <s v="C020"/>
    <s v="Nicole Rodriguez"/>
    <s v="Female"/>
    <n v="25"/>
    <s v="New York"/>
    <x v="1"/>
    <n v="45.99"/>
    <n v="2"/>
    <x v="1"/>
    <s v="PayPal"/>
    <n v="8"/>
    <s v="Yes"/>
    <x v="1"/>
    <x v="2"/>
  </r>
  <r>
    <s v="C021"/>
    <s v="Brian Lewis"/>
    <s v="Male"/>
    <n v="53"/>
    <s v="California"/>
    <x v="0"/>
    <n v="91.99"/>
    <n v="48"/>
    <x v="0"/>
    <s v="Bank Transfer"/>
    <n v="0"/>
    <s v="No"/>
    <x v="0"/>
    <x v="1"/>
  </r>
  <r>
    <s v="C022"/>
    <s v="Rachel Lee"/>
    <s v="Female"/>
    <n v="38"/>
    <s v="Texas"/>
    <x v="2"/>
    <n v="30.99"/>
    <n v="11"/>
    <x v="2"/>
    <s v="Credit Card"/>
    <n v="3"/>
    <s v="No"/>
    <x v="0"/>
    <x v="0"/>
  </r>
  <r>
    <s v="C023"/>
    <s v="Jason Walker"/>
    <s v="Male"/>
    <n v="32"/>
    <s v="Illinois"/>
    <x v="1"/>
    <n v="50.99"/>
    <n v="9"/>
    <x v="1"/>
    <s v="PayPal"/>
    <n v="4"/>
    <s v="Yes"/>
    <x v="1"/>
    <x v="0"/>
  </r>
  <r>
    <s v="C024"/>
    <s v="Lauren Hall"/>
    <s v="Female"/>
    <n v="47"/>
    <s v="Florida"/>
    <x v="0"/>
    <n v="80.989999999999995"/>
    <n v="26"/>
    <x v="2"/>
    <s v="Credit Card"/>
    <n v="2"/>
    <s v="No"/>
    <x v="0"/>
    <x v="1"/>
  </r>
  <r>
    <s v="C025"/>
    <s v="Justin Allen"/>
    <s v="Male"/>
    <n v="23"/>
    <s v="New York"/>
    <x v="2"/>
    <n v="25.99"/>
    <n v="1"/>
    <x v="1"/>
    <s v="Bank Transfer"/>
    <n v="7"/>
    <s v="Yes"/>
    <x v="1"/>
    <x v="2"/>
  </r>
  <r>
    <s v="C026"/>
    <s v="Megan Young"/>
    <s v="Female"/>
    <n v="36"/>
    <s v="California"/>
    <x v="1"/>
    <n v="53.99"/>
    <n v="17"/>
    <x v="2"/>
    <s v="Credit Card"/>
    <n v="1"/>
    <s v="No"/>
    <x v="0"/>
    <x v="0"/>
  </r>
  <r>
    <s v="C027"/>
    <s v="Brandon Hernandez"/>
    <s v="Male"/>
    <n v="40"/>
    <s v="Texas"/>
    <x v="0"/>
    <n v="83.99"/>
    <n v="33"/>
    <x v="0"/>
    <s v="PayPal"/>
    <n v="2"/>
    <s v="No"/>
    <x v="0"/>
    <x v="1"/>
  </r>
  <r>
    <s v="C028"/>
    <s v="Olivia King"/>
    <s v="Female"/>
    <n v="29"/>
    <s v="Illinois"/>
    <x v="2"/>
    <n v="29.49"/>
    <n v="6"/>
    <x v="1"/>
    <s v="Credit Card"/>
    <n v="5"/>
    <s v="Yes"/>
    <x v="1"/>
    <x v="2"/>
  </r>
  <r>
    <s v="C029"/>
    <s v="Tyler Wright"/>
    <s v="Male"/>
    <n v="43"/>
    <s v="Florida"/>
    <x v="1"/>
    <n v="48.99"/>
    <n v="21"/>
    <x v="2"/>
    <s v="Bank Transfer"/>
    <n v="2"/>
    <s v="No"/>
    <x v="0"/>
    <x v="0"/>
  </r>
  <r>
    <s v="C030"/>
    <s v="Hannah Lopez"/>
    <s v="Female"/>
    <n v="31"/>
    <s v="New York"/>
    <x v="0"/>
    <n v="76.989999999999995"/>
    <n v="13"/>
    <x v="1"/>
    <s v="PayPal"/>
    <n v="4"/>
    <s v="Yes"/>
    <x v="1"/>
    <x v="0"/>
  </r>
  <r>
    <s v="C031"/>
    <s v="Eric Hill"/>
    <s v="Male"/>
    <n v="50"/>
    <s v="California"/>
    <x v="2"/>
    <n v="32.99"/>
    <n v="30"/>
    <x v="0"/>
    <s v="Credit Card"/>
    <n v="1"/>
    <s v="No"/>
    <x v="0"/>
    <x v="1"/>
  </r>
  <r>
    <s v="C032"/>
    <s v="Grace Scott"/>
    <s v="Female"/>
    <n v="27"/>
    <s v="Texas"/>
    <x v="1"/>
    <n v="46.99"/>
    <n v="5"/>
    <x v="1"/>
    <s v="Bank Transfer"/>
    <n v="6"/>
    <s v="Yes"/>
    <x v="1"/>
    <x v="2"/>
  </r>
  <r>
    <s v="C033"/>
    <s v="Steven Green"/>
    <s v="Male"/>
    <n v="39"/>
    <s v="Illinois"/>
    <x v="0"/>
    <n v="88.99"/>
    <n v="27"/>
    <x v="2"/>
    <s v="Credit Card"/>
    <n v="1"/>
    <s v="No"/>
    <x v="0"/>
    <x v="1"/>
  </r>
  <r>
    <s v="C034"/>
    <s v="Chloe Adams"/>
    <s v="Female"/>
    <n v="45"/>
    <s v="Florida"/>
    <x v="2"/>
    <n v="27.49"/>
    <n v="16"/>
    <x v="2"/>
    <s v="PayPal"/>
    <n v="3"/>
    <s v="No"/>
    <x v="0"/>
    <x v="0"/>
  </r>
  <r>
    <s v="C035"/>
    <s v="Nathan Baker"/>
    <s v="Male"/>
    <n v="28"/>
    <s v="New York"/>
    <x v="1"/>
    <n v="51.49"/>
    <n v="4"/>
    <x v="1"/>
    <s v="Credit Card"/>
    <n v="7"/>
    <s v="Yes"/>
    <x v="1"/>
    <x v="2"/>
  </r>
  <r>
    <s v="C036"/>
    <s v="Lily Nelson"/>
    <s v="Female"/>
    <n v="52"/>
    <s v="California"/>
    <x v="0"/>
    <n v="85.99"/>
    <n v="40"/>
    <x v="0"/>
    <s v="Bank Transfer"/>
    <n v="0"/>
    <s v="No"/>
    <x v="0"/>
    <x v="1"/>
  </r>
  <r>
    <s v="C037"/>
    <s v="Adam Carter"/>
    <s v="Male"/>
    <n v="34"/>
    <s v="Texas"/>
    <x v="2"/>
    <n v="30.49"/>
    <n v="12"/>
    <x v="2"/>
    <s v="Credit Card"/>
    <n v="2"/>
    <s v="No"/>
    <x v="0"/>
    <x v="0"/>
  </r>
  <r>
    <s v="C038"/>
    <s v="Zoe Mitchell"/>
    <s v="Female"/>
    <n v="26"/>
    <s v="Illinois"/>
    <x v="1"/>
    <n v="49.49"/>
    <n v="3"/>
    <x v="1"/>
    <s v="PayPal"/>
    <n v="6"/>
    <s v="Yes"/>
    <x v="1"/>
    <x v="2"/>
  </r>
  <r>
    <s v="C039"/>
    <s v="Jacob Perez"/>
    <s v="Male"/>
    <n v="48"/>
    <s v="Florida"/>
    <x v="0"/>
    <n v="81.99"/>
    <n v="35"/>
    <x v="0"/>
    <s v="Credit Card"/>
    <n v="1"/>
    <s v="No"/>
    <x v="0"/>
    <x v="1"/>
  </r>
  <r>
    <s v="C040"/>
    <s v="Mia Roberts"/>
    <s v="Female"/>
    <n v="37"/>
    <s v="New York"/>
    <x v="1"/>
    <n v="54.49"/>
    <n v="8"/>
    <x v="1"/>
    <s v="Bank Transfer"/>
    <n v="5"/>
    <s v="Yes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F3C43-54BB-4BE4-AFD2-9EFCB0013FB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5:N30" firstHeaderRow="1" firstDataRow="2" firstDataCol="1"/>
  <pivotFields count="14">
    <pivotField dataField="1" showAll="0"/>
    <pivotField showAll="0"/>
    <pivotField showAll="0"/>
    <pivotField showAll="0"/>
    <pivotField showAll="0"/>
    <pivotField showAll="0"/>
    <pivotField numFmtId="44"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29EA4-2FA1-479D-B1B4-CA205DEDBD1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5:I30" firstHeaderRow="1" firstDataRow="2" firstDataCol="1"/>
  <pivotFields count="14">
    <pivotField dataField="1" showAll="0"/>
    <pivotField showAll="0"/>
    <pivotField showAll="0"/>
    <pivotField showAll="0"/>
    <pivotField showAll="0"/>
    <pivotField showAll="0"/>
    <pivotField numFmtId="4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6F557-6370-41E6-9BB8-AF95396142D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D30" firstHeaderRow="1" firstDataRow="2" firstDataCol="1"/>
  <pivotFields count="14">
    <pivotField dataField="1"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numFmtId="44"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68AA33-D9A6-43B0-9031-EC9517D41BAA}" name="Table1" displayName="Table1" ref="A1:L42" totalsRowShown="0" headerRowDxfId="31" dataDxfId="30">
  <autoFilter ref="A1:L42" xr:uid="{9768AA33-D9A6-43B0-9031-EC9517D41BAA}"/>
  <tableColumns count="12">
    <tableColumn id="1" xr3:uid="{C055744F-5D92-49C9-AF7C-86C95D752AFF}" name="Customer ID" dataDxfId="29"/>
    <tableColumn id="2" xr3:uid="{34BEE087-95EC-4B56-990D-F5C303FCB1E8}" name="Customer Name" dataDxfId="28"/>
    <tableColumn id="3" xr3:uid="{3F625EF8-C5B1-412A-B444-14B5C0B4090A}" name="Gender" dataDxfId="27"/>
    <tableColumn id="4" xr3:uid="{D774DF37-F8EC-4473-8528-563C8C9F40F0}" name="Age" dataDxfId="26"/>
    <tableColumn id="5" xr3:uid="{EB2B47EC-6B01-4015-862F-28C65E8E1D51}" name="Location" dataDxfId="25"/>
    <tableColumn id="6" xr3:uid="{1FF32FEF-5910-41C9-B0C5-9449A89B3F59}" name="Subscription" dataDxfId="24"/>
    <tableColumn id="7" xr3:uid="{BCD7F9C2-91CE-45C3-B1CA-96569C35FBD7}" name="Monthly Charges" dataDxfId="23" dataCellStyle="Currency"/>
    <tableColumn id="8" xr3:uid="{5C4E0DCE-5C11-4D89-B6BE-196EADFA5F51}" name="Tenure Months" dataDxfId="22"/>
    <tableColumn id="9" xr3:uid="{075C247E-99DA-436C-8E4F-42E2D69107DE}" name="Contract Type" dataDxfId="21"/>
    <tableColumn id="10" xr3:uid="{E6F6AFA0-7A21-4D55-BF37-7350D152C3D4}" name="Payment Method" dataDxfId="20"/>
    <tableColumn id="11" xr3:uid="{E380F8A5-A4CE-4FCE-B34B-A71FC06A9C33}" name="Support Calls" dataDxfId="19"/>
    <tableColumn id="12" xr3:uid="{07C7CC26-CCD7-41B4-8D3A-9F2D3699B5BC}" name="Churn" dataDxfId="18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4D0299-29D0-4411-9275-6A83D60ED37B}" name="Table2" displayName="Table2" ref="A1:N41" totalsRowShown="0" headerRowDxfId="17" dataDxfId="16">
  <autoFilter ref="A1:N41" xr:uid="{574D0299-29D0-4411-9275-6A83D60ED37B}"/>
  <tableColumns count="14">
    <tableColumn id="1" xr3:uid="{F7C0DBCD-F0DF-4CC2-8599-6DB394EA47CE}" name="Customer ID" dataDxfId="15">
      <calculatedColumnFormula>Table1[[#This Row],[Customer ID]]</calculatedColumnFormula>
    </tableColumn>
    <tableColumn id="2" xr3:uid="{8AA64653-E0F7-49BB-AF36-C2EF8F358F93}" name="Customer Name" dataDxfId="14">
      <calculatedColumnFormula>PROPER(TRIM(Table1[[#This Row],[Customer Name]]))</calculatedColumnFormula>
    </tableColumn>
    <tableColumn id="3" xr3:uid="{0EFEDA1E-0F15-496C-8A50-ADCAFA4F16C8}" name="Gender" dataDxfId="13">
      <calculatedColumnFormula>Table1[[#This Row],[Gender]]</calculatedColumnFormula>
    </tableColumn>
    <tableColumn id="4" xr3:uid="{D7222C20-5136-44D6-B54C-1746E579A133}" name="Age" dataDxfId="12">
      <calculatedColumnFormula>Table1[[#This Row],[Age]]</calculatedColumnFormula>
    </tableColumn>
    <tableColumn id="5" xr3:uid="{B8994871-523C-48A0-8284-4F04CC087B03}" name="Location" dataDxfId="11">
      <calculatedColumnFormula>Table1[[#This Row],[Location]]</calculatedColumnFormula>
    </tableColumn>
    <tableColumn id="6" xr3:uid="{454F166E-9BD4-4656-9B06-2552055F804C}" name="Subscription" dataDxfId="10">
      <calculatedColumnFormula>Table1[[#This Row],[Subscription]]</calculatedColumnFormula>
    </tableColumn>
    <tableColumn id="7" xr3:uid="{7F2177EB-747C-4104-85D0-4A6A94E0D6CC}" name="Monthly Charges" dataDxfId="9">
      <calculatedColumnFormula>Table1[[#This Row],[Monthly Charges]]</calculatedColumnFormula>
    </tableColumn>
    <tableColumn id="8" xr3:uid="{B1F32F10-5DEF-46CF-801C-33B4A8B8657A}" name="Tenure Months" dataDxfId="8">
      <calculatedColumnFormula>Table1[[#This Row],[Tenure Months]]</calculatedColumnFormula>
    </tableColumn>
    <tableColumn id="9" xr3:uid="{18D023EE-9628-4D2A-ADAE-269997394087}" name="Contract Type" dataDxfId="7">
      <calculatedColumnFormula>Table1[[#This Row],[Contract Type]]</calculatedColumnFormula>
    </tableColumn>
    <tableColumn id="10" xr3:uid="{90F7FCDA-167D-4FE8-A248-3F51958D5931}" name="Payment Method" dataDxfId="6">
      <calculatedColumnFormula>Table1[[#This Row],[Payment Method]]</calculatedColumnFormula>
    </tableColumn>
    <tableColumn id="11" xr3:uid="{7F3AAE15-9E72-4F22-94F6-E57970071BE9}" name="Support Calls" dataDxfId="5">
      <calculatedColumnFormula>Table1[[#This Row],[Support Calls]]</calculatedColumnFormula>
    </tableColumn>
    <tableColumn id="12" xr3:uid="{0C609048-C51F-437C-BB30-00E68CB53529}" name="Churn" dataDxfId="4">
      <calculatedColumnFormula>Table1[[#This Row],[Churn]]</calculatedColumnFormula>
    </tableColumn>
    <tableColumn id="13" xr3:uid="{275ED815-B0B7-40E0-9602-AEB6AF3417AD}" name="Churn status" dataDxfId="3">
      <calculatedColumnFormula>IF(Table2[[#This Row],[Churn]]="Yes","Churned","Active")</calculatedColumnFormula>
    </tableColumn>
    <tableColumn id="14" xr3:uid="{C3B77AC2-AF5E-4922-9A8D-A37F08E9F5CA}" name="Customer segment" dataDxfId="2">
      <calculatedColumnFormula>IF(Table2[[#This Row],[Tenure Months]]&lt;=6,"New",IF(Table2[[#This Row],[Tenure Months]]&lt;=24,"Established","Loyal"))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2001-AC31-477A-83EC-099F5E073BE2}">
  <dimension ref="A1:L42"/>
  <sheetViews>
    <sheetView zoomScale="83" workbookViewId="0">
      <pane ySplit="1" topLeftCell="A20" activePane="bottomLeft" state="frozen"/>
      <selection pane="bottomLeft" activeCell="B39" sqref="A2:L42"/>
    </sheetView>
  </sheetViews>
  <sheetFormatPr defaultRowHeight="14.5" x14ac:dyDescent="0.35"/>
  <cols>
    <col min="1" max="1" width="16.54296875" bestFit="1" customWidth="1"/>
    <col min="2" max="2" width="19.81640625" bestFit="1" customWidth="1"/>
    <col min="3" max="3" width="12.453125" bestFit="1" customWidth="1"/>
    <col min="4" max="4" width="9.36328125" bestFit="1" customWidth="1"/>
    <col min="5" max="5" width="13.453125" bestFit="1" customWidth="1"/>
    <col min="6" max="6" width="17" bestFit="1" customWidth="1"/>
    <col min="7" max="7" width="20.26953125" style="3" bestFit="1" customWidth="1"/>
    <col min="8" max="8" width="18.1796875" bestFit="1" customWidth="1"/>
    <col min="9" max="9" width="17.7265625" bestFit="1" customWidth="1"/>
    <col min="10" max="10" width="20.26953125" bestFit="1" customWidth="1"/>
    <col min="11" max="11" width="17.54296875" bestFit="1" customWidth="1"/>
    <col min="12" max="12" width="11.26953125" bestFit="1" customWidth="1"/>
  </cols>
  <sheetData>
    <row r="1" spans="1:12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5">
      <c r="A2" s="12" t="s">
        <v>12</v>
      </c>
      <c r="B2" s="12" t="s">
        <v>13</v>
      </c>
      <c r="C2" s="12" t="s">
        <v>14</v>
      </c>
      <c r="D2" s="12">
        <v>28</v>
      </c>
      <c r="E2" s="12" t="s">
        <v>15</v>
      </c>
      <c r="F2" s="12" t="s">
        <v>16</v>
      </c>
      <c r="G2" s="13">
        <v>79.989999999999995</v>
      </c>
      <c r="H2" s="12">
        <v>24</v>
      </c>
      <c r="I2" s="12" t="s">
        <v>17</v>
      </c>
      <c r="J2" s="12" t="s">
        <v>18</v>
      </c>
      <c r="K2" s="12">
        <v>1</v>
      </c>
      <c r="L2" s="12" t="s">
        <v>19</v>
      </c>
    </row>
    <row r="3" spans="1:12" x14ac:dyDescent="0.35">
      <c r="A3" s="12" t="s">
        <v>20</v>
      </c>
      <c r="B3" s="12" t="s">
        <v>21</v>
      </c>
      <c r="C3" s="12" t="s">
        <v>22</v>
      </c>
      <c r="D3" s="12">
        <v>35</v>
      </c>
      <c r="E3" s="12" t="s">
        <v>23</v>
      </c>
      <c r="F3" s="12" t="s">
        <v>24</v>
      </c>
      <c r="G3" s="13">
        <v>49.99</v>
      </c>
      <c r="H3" s="12">
        <v>8</v>
      </c>
      <c r="I3" s="12" t="s">
        <v>25</v>
      </c>
      <c r="J3" s="12" t="s">
        <v>26</v>
      </c>
      <c r="K3" s="12">
        <v>4</v>
      </c>
      <c r="L3" s="12" t="s">
        <v>27</v>
      </c>
    </row>
    <row r="4" spans="1:12" x14ac:dyDescent="0.35">
      <c r="A4" s="12" t="s">
        <v>28</v>
      </c>
      <c r="B4" s="12" t="s">
        <v>29</v>
      </c>
      <c r="C4" s="12" t="s">
        <v>14</v>
      </c>
      <c r="D4" s="12">
        <v>42</v>
      </c>
      <c r="E4" s="12" t="s">
        <v>30</v>
      </c>
      <c r="F4" s="12" t="s">
        <v>31</v>
      </c>
      <c r="G4" s="13">
        <v>29.99</v>
      </c>
      <c r="H4" s="12">
        <v>36</v>
      </c>
      <c r="I4" s="12" t="s">
        <v>17</v>
      </c>
      <c r="J4" s="12" t="s">
        <v>18</v>
      </c>
      <c r="K4" s="12">
        <v>0</v>
      </c>
      <c r="L4" s="12" t="s">
        <v>19</v>
      </c>
    </row>
    <row r="5" spans="1:12" x14ac:dyDescent="0.35">
      <c r="A5" s="12" t="s">
        <v>32</v>
      </c>
      <c r="B5" s="12" t="s">
        <v>33</v>
      </c>
      <c r="C5" s="12" t="s">
        <v>22</v>
      </c>
      <c r="D5" s="12">
        <v>31</v>
      </c>
      <c r="E5" s="12" t="s">
        <v>34</v>
      </c>
      <c r="F5" s="12" t="s">
        <v>16</v>
      </c>
      <c r="G5" s="13">
        <v>84.99</v>
      </c>
      <c r="H5" s="12">
        <v>18</v>
      </c>
      <c r="I5" s="12" t="s">
        <v>35</v>
      </c>
      <c r="J5" s="12" t="s">
        <v>36</v>
      </c>
      <c r="K5" s="12">
        <v>2</v>
      </c>
      <c r="L5" s="12" t="s">
        <v>19</v>
      </c>
    </row>
    <row r="6" spans="1:12" x14ac:dyDescent="0.35">
      <c r="A6" s="12" t="s">
        <v>37</v>
      </c>
      <c r="B6" s="12" t="s">
        <v>38</v>
      </c>
      <c r="C6" s="12" t="s">
        <v>14</v>
      </c>
      <c r="D6" s="12">
        <v>24</v>
      </c>
      <c r="E6" s="12" t="s">
        <v>15</v>
      </c>
      <c r="F6" s="12" t="s">
        <v>31</v>
      </c>
      <c r="G6" s="13">
        <v>24.99</v>
      </c>
      <c r="H6" s="12">
        <v>4</v>
      </c>
      <c r="I6" s="12" t="s">
        <v>25</v>
      </c>
      <c r="J6" s="12" t="s">
        <v>18</v>
      </c>
      <c r="K6" s="12">
        <v>5</v>
      </c>
      <c r="L6" s="12" t="s">
        <v>27</v>
      </c>
    </row>
    <row r="7" spans="1:12" x14ac:dyDescent="0.35">
      <c r="A7" s="12" t="s">
        <v>39</v>
      </c>
      <c r="B7" s="12" t="s">
        <v>40</v>
      </c>
      <c r="C7" s="12" t="s">
        <v>22</v>
      </c>
      <c r="D7" s="12">
        <v>39</v>
      </c>
      <c r="E7" s="12" t="s">
        <v>41</v>
      </c>
      <c r="F7" s="12" t="s">
        <v>24</v>
      </c>
      <c r="G7" s="13">
        <v>54.99</v>
      </c>
      <c r="H7" s="12">
        <v>15</v>
      </c>
      <c r="I7" s="12" t="s">
        <v>35</v>
      </c>
      <c r="J7" s="12" t="s">
        <v>26</v>
      </c>
      <c r="K7" s="12">
        <v>2</v>
      </c>
      <c r="L7" s="12" t="s">
        <v>19</v>
      </c>
    </row>
    <row r="8" spans="1:12" x14ac:dyDescent="0.35">
      <c r="A8" s="12" t="s">
        <v>42</v>
      </c>
      <c r="B8" s="12" t="s">
        <v>43</v>
      </c>
      <c r="C8" s="12" t="s">
        <v>14</v>
      </c>
      <c r="D8" s="12">
        <v>51</v>
      </c>
      <c r="E8" s="12" t="s">
        <v>30</v>
      </c>
      <c r="F8" s="12" t="s">
        <v>16</v>
      </c>
      <c r="G8" s="13">
        <v>89.99</v>
      </c>
      <c r="H8" s="12">
        <v>42</v>
      </c>
      <c r="I8" s="12" t="s">
        <v>17</v>
      </c>
      <c r="J8" s="12" t="s">
        <v>18</v>
      </c>
      <c r="K8" s="12">
        <v>1</v>
      </c>
      <c r="L8" s="12" t="s">
        <v>19</v>
      </c>
    </row>
    <row r="9" spans="1:12" x14ac:dyDescent="0.35">
      <c r="A9" s="12" t="s">
        <v>44</v>
      </c>
      <c r="B9" s="12" t="s">
        <v>45</v>
      </c>
      <c r="C9" s="12" t="s">
        <v>22</v>
      </c>
      <c r="D9" s="12">
        <v>27</v>
      </c>
      <c r="E9" s="12" t="s">
        <v>23</v>
      </c>
      <c r="F9" s="12" t="s">
        <v>31</v>
      </c>
      <c r="G9" s="13">
        <v>27.99</v>
      </c>
      <c r="H9" s="12">
        <v>6</v>
      </c>
      <c r="I9" s="12" t="s">
        <v>25</v>
      </c>
      <c r="J9" s="12" t="s">
        <v>36</v>
      </c>
      <c r="K9" s="12">
        <v>6</v>
      </c>
      <c r="L9" s="12" t="s">
        <v>27</v>
      </c>
    </row>
    <row r="10" spans="1:12" ht="28" x14ac:dyDescent="0.35">
      <c r="A10" s="12" t="s">
        <v>46</v>
      </c>
      <c r="B10" s="12" t="s">
        <v>47</v>
      </c>
      <c r="C10" s="12" t="s">
        <v>14</v>
      </c>
      <c r="D10" s="12">
        <v>45</v>
      </c>
      <c r="E10" s="12" t="s">
        <v>34</v>
      </c>
      <c r="F10" s="12" t="s">
        <v>24</v>
      </c>
      <c r="G10" s="13">
        <v>52.99</v>
      </c>
      <c r="H10" s="12">
        <v>20</v>
      </c>
      <c r="I10" s="12" t="s">
        <v>35</v>
      </c>
      <c r="J10" s="12" t="s">
        <v>18</v>
      </c>
      <c r="K10" s="12">
        <v>2</v>
      </c>
      <c r="L10" s="12" t="s">
        <v>19</v>
      </c>
    </row>
    <row r="11" spans="1:12" x14ac:dyDescent="0.35">
      <c r="A11" s="12" t="s">
        <v>48</v>
      </c>
      <c r="B11" s="12" t="s">
        <v>49</v>
      </c>
      <c r="C11" s="12" t="s">
        <v>22</v>
      </c>
      <c r="D11" s="12">
        <v>33</v>
      </c>
      <c r="E11" s="12" t="s">
        <v>15</v>
      </c>
      <c r="F11" s="12" t="s">
        <v>16</v>
      </c>
      <c r="G11" s="13">
        <v>74.989999999999995</v>
      </c>
      <c r="H11" s="12">
        <v>10</v>
      </c>
      <c r="I11" s="12" t="s">
        <v>25</v>
      </c>
      <c r="J11" s="12" t="s">
        <v>26</v>
      </c>
      <c r="K11" s="12">
        <v>5</v>
      </c>
      <c r="L11" s="12" t="s">
        <v>27</v>
      </c>
    </row>
    <row r="12" spans="1:12" x14ac:dyDescent="0.35">
      <c r="A12" s="12" t="s">
        <v>50</v>
      </c>
      <c r="B12" s="12" t="s">
        <v>51</v>
      </c>
      <c r="C12" s="12" t="s">
        <v>14</v>
      </c>
      <c r="D12" s="12">
        <v>29</v>
      </c>
      <c r="E12" s="12" t="s">
        <v>23</v>
      </c>
      <c r="F12" s="12" t="s">
        <v>24</v>
      </c>
      <c r="G12" s="13">
        <v>47.99</v>
      </c>
      <c r="H12" s="12">
        <v>28</v>
      </c>
      <c r="I12" s="12" t="s">
        <v>17</v>
      </c>
      <c r="J12" s="12" t="s">
        <v>18</v>
      </c>
      <c r="K12" s="12">
        <v>1</v>
      </c>
      <c r="L12" s="12" t="s">
        <v>19</v>
      </c>
    </row>
    <row r="13" spans="1:12" x14ac:dyDescent="0.35">
      <c r="A13" s="12" t="s">
        <v>52</v>
      </c>
      <c r="B13" s="12" t="s">
        <v>53</v>
      </c>
      <c r="C13" s="12" t="s">
        <v>22</v>
      </c>
      <c r="D13" s="12">
        <v>46</v>
      </c>
      <c r="E13" s="12" t="s">
        <v>30</v>
      </c>
      <c r="F13" s="12" t="s">
        <v>31</v>
      </c>
      <c r="G13" s="13">
        <v>31.99</v>
      </c>
      <c r="H13" s="12">
        <v>3</v>
      </c>
      <c r="I13" s="12" t="s">
        <v>25</v>
      </c>
      <c r="J13" s="12" t="s">
        <v>36</v>
      </c>
      <c r="K13" s="12">
        <v>7</v>
      </c>
      <c r="L13" s="12" t="s">
        <v>27</v>
      </c>
    </row>
    <row r="14" spans="1:12" x14ac:dyDescent="0.35">
      <c r="A14" s="12" t="s">
        <v>54</v>
      </c>
      <c r="B14" s="12" t="s">
        <v>55</v>
      </c>
      <c r="C14" s="12" t="s">
        <v>14</v>
      </c>
      <c r="D14" s="12">
        <v>37</v>
      </c>
      <c r="E14" s="12" t="s">
        <v>41</v>
      </c>
      <c r="F14" s="12" t="s">
        <v>16</v>
      </c>
      <c r="G14" s="13">
        <v>82.99</v>
      </c>
      <c r="H14" s="12">
        <v>31</v>
      </c>
      <c r="I14" s="12" t="s">
        <v>17</v>
      </c>
      <c r="J14" s="12" t="s">
        <v>18</v>
      </c>
      <c r="K14" s="12">
        <v>0</v>
      </c>
      <c r="L14" s="12" t="s">
        <v>19</v>
      </c>
    </row>
    <row r="15" spans="1:12" x14ac:dyDescent="0.35">
      <c r="A15" s="12" t="s">
        <v>56</v>
      </c>
      <c r="B15" s="12" t="s">
        <v>57</v>
      </c>
      <c r="C15" s="12" t="s">
        <v>22</v>
      </c>
      <c r="D15" s="12">
        <v>41</v>
      </c>
      <c r="E15" s="12" t="s">
        <v>34</v>
      </c>
      <c r="F15" s="12" t="s">
        <v>24</v>
      </c>
      <c r="G15" s="13">
        <v>51.99</v>
      </c>
      <c r="H15" s="12">
        <v>14</v>
      </c>
      <c r="I15" s="12" t="s">
        <v>35</v>
      </c>
      <c r="J15" s="12" t="s">
        <v>26</v>
      </c>
      <c r="K15" s="12">
        <v>3</v>
      </c>
      <c r="L15" s="12" t="s">
        <v>19</v>
      </c>
    </row>
    <row r="16" spans="1:12" x14ac:dyDescent="0.35">
      <c r="A16" s="12" t="s">
        <v>58</v>
      </c>
      <c r="B16" s="12" t="s">
        <v>59</v>
      </c>
      <c r="C16" s="12" t="s">
        <v>14</v>
      </c>
      <c r="D16" s="12">
        <v>26</v>
      </c>
      <c r="E16" s="12" t="s">
        <v>15</v>
      </c>
      <c r="F16" s="12" t="s">
        <v>31</v>
      </c>
      <c r="G16" s="13">
        <v>26.99</v>
      </c>
      <c r="H16" s="12">
        <v>5</v>
      </c>
      <c r="I16" s="12" t="s">
        <v>25</v>
      </c>
      <c r="J16" s="12" t="s">
        <v>18</v>
      </c>
      <c r="K16" s="12">
        <v>6</v>
      </c>
      <c r="L16" s="12" t="s">
        <v>27</v>
      </c>
    </row>
    <row r="17" spans="1:12" x14ac:dyDescent="0.35">
      <c r="A17" s="12" t="s">
        <v>60</v>
      </c>
      <c r="B17" s="12" t="s">
        <v>61</v>
      </c>
      <c r="C17" s="12" t="s">
        <v>22</v>
      </c>
      <c r="D17" s="12">
        <v>34</v>
      </c>
      <c r="E17" s="12" t="s">
        <v>23</v>
      </c>
      <c r="F17" s="12" t="s">
        <v>16</v>
      </c>
      <c r="G17" s="13">
        <v>78.989999999999995</v>
      </c>
      <c r="H17" s="12">
        <v>22</v>
      </c>
      <c r="I17" s="12" t="s">
        <v>35</v>
      </c>
      <c r="J17" s="12" t="s">
        <v>36</v>
      </c>
      <c r="K17" s="12">
        <v>1</v>
      </c>
      <c r="L17" s="12" t="s">
        <v>19</v>
      </c>
    </row>
    <row r="18" spans="1:12" x14ac:dyDescent="0.35">
      <c r="A18" s="12" t="s">
        <v>62</v>
      </c>
      <c r="B18" s="12" t="s">
        <v>63</v>
      </c>
      <c r="C18" s="12" t="s">
        <v>14</v>
      </c>
      <c r="D18" s="12">
        <v>49</v>
      </c>
      <c r="E18" s="12" t="s">
        <v>30</v>
      </c>
      <c r="F18" s="12" t="s">
        <v>24</v>
      </c>
      <c r="G18" s="13">
        <v>55.99</v>
      </c>
      <c r="H18" s="12">
        <v>7</v>
      </c>
      <c r="I18" s="12" t="s">
        <v>25</v>
      </c>
      <c r="J18" s="12" t="s">
        <v>26</v>
      </c>
      <c r="K18" s="12">
        <v>5</v>
      </c>
      <c r="L18" s="12" t="s">
        <v>27</v>
      </c>
    </row>
    <row r="19" spans="1:12" x14ac:dyDescent="0.35">
      <c r="A19" s="12" t="s">
        <v>64</v>
      </c>
      <c r="B19" s="12" t="s">
        <v>65</v>
      </c>
      <c r="C19" s="12" t="s">
        <v>22</v>
      </c>
      <c r="D19" s="12">
        <v>30</v>
      </c>
      <c r="E19" s="12" t="s">
        <v>41</v>
      </c>
      <c r="F19" s="12" t="s">
        <v>31</v>
      </c>
      <c r="G19" s="13">
        <v>28.99</v>
      </c>
      <c r="H19" s="12">
        <v>19</v>
      </c>
      <c r="I19" s="12" t="s">
        <v>35</v>
      </c>
      <c r="J19" s="12" t="s">
        <v>18</v>
      </c>
      <c r="K19" s="12">
        <v>2</v>
      </c>
      <c r="L19" s="12" t="s">
        <v>19</v>
      </c>
    </row>
    <row r="20" spans="1:12" x14ac:dyDescent="0.35">
      <c r="A20" s="12" t="s">
        <v>66</v>
      </c>
      <c r="B20" s="12" t="s">
        <v>67</v>
      </c>
      <c r="C20" s="12" t="s">
        <v>14</v>
      </c>
      <c r="D20" s="12">
        <v>44</v>
      </c>
      <c r="E20" s="12" t="s">
        <v>34</v>
      </c>
      <c r="F20" s="12" t="s">
        <v>16</v>
      </c>
      <c r="G20" s="13">
        <v>86.99</v>
      </c>
      <c r="H20" s="12">
        <v>38</v>
      </c>
      <c r="I20" s="12" t="s">
        <v>17</v>
      </c>
      <c r="J20" s="12" t="s">
        <v>18</v>
      </c>
      <c r="K20" s="12">
        <v>1</v>
      </c>
      <c r="L20" s="12" t="s">
        <v>19</v>
      </c>
    </row>
    <row r="21" spans="1:12" x14ac:dyDescent="0.35">
      <c r="A21" s="12" t="s">
        <v>68</v>
      </c>
      <c r="B21" s="12" t="s">
        <v>69</v>
      </c>
      <c r="C21" s="12" t="s">
        <v>22</v>
      </c>
      <c r="D21" s="12">
        <v>25</v>
      </c>
      <c r="E21" s="12" t="s">
        <v>15</v>
      </c>
      <c r="F21" s="12" t="s">
        <v>24</v>
      </c>
      <c r="G21" s="13">
        <v>45.99</v>
      </c>
      <c r="H21" s="12">
        <v>2</v>
      </c>
      <c r="I21" s="12" t="s">
        <v>25</v>
      </c>
      <c r="J21" s="12" t="s">
        <v>36</v>
      </c>
      <c r="K21" s="12">
        <v>8</v>
      </c>
      <c r="L21" s="12" t="s">
        <v>27</v>
      </c>
    </row>
    <row r="22" spans="1:12" x14ac:dyDescent="0.35">
      <c r="A22" s="12" t="s">
        <v>70</v>
      </c>
      <c r="B22" s="12" t="s">
        <v>71</v>
      </c>
      <c r="C22" s="12" t="s">
        <v>14</v>
      </c>
      <c r="D22" s="12">
        <v>53</v>
      </c>
      <c r="E22" s="12" t="s">
        <v>23</v>
      </c>
      <c r="F22" s="12" t="s">
        <v>16</v>
      </c>
      <c r="G22" s="13">
        <v>91.99</v>
      </c>
      <c r="H22" s="12">
        <v>48</v>
      </c>
      <c r="I22" s="12" t="s">
        <v>17</v>
      </c>
      <c r="J22" s="12" t="s">
        <v>26</v>
      </c>
      <c r="K22" s="12">
        <v>0</v>
      </c>
      <c r="L22" s="12" t="s">
        <v>19</v>
      </c>
    </row>
    <row r="23" spans="1:12" x14ac:dyDescent="0.35">
      <c r="A23" s="12" t="s">
        <v>72</v>
      </c>
      <c r="B23" s="12" t="s">
        <v>73</v>
      </c>
      <c r="C23" s="12" t="s">
        <v>22</v>
      </c>
      <c r="D23" s="12">
        <v>38</v>
      </c>
      <c r="E23" s="12" t="s">
        <v>30</v>
      </c>
      <c r="F23" s="12" t="s">
        <v>31</v>
      </c>
      <c r="G23" s="13">
        <v>30.99</v>
      </c>
      <c r="H23" s="12">
        <v>11</v>
      </c>
      <c r="I23" s="12" t="s">
        <v>35</v>
      </c>
      <c r="J23" s="12" t="s">
        <v>18</v>
      </c>
      <c r="K23" s="12">
        <v>3</v>
      </c>
      <c r="L23" s="12" t="s">
        <v>19</v>
      </c>
    </row>
    <row r="24" spans="1:12" x14ac:dyDescent="0.35">
      <c r="A24" s="12" t="s">
        <v>74</v>
      </c>
      <c r="B24" s="12" t="s">
        <v>75</v>
      </c>
      <c r="C24" s="12" t="s">
        <v>14</v>
      </c>
      <c r="D24" s="12">
        <v>32</v>
      </c>
      <c r="E24" s="12" t="s">
        <v>41</v>
      </c>
      <c r="F24" s="12" t="s">
        <v>24</v>
      </c>
      <c r="G24" s="13">
        <v>50.99</v>
      </c>
      <c r="H24" s="12">
        <v>9</v>
      </c>
      <c r="I24" s="12" t="s">
        <v>25</v>
      </c>
      <c r="J24" s="12" t="s">
        <v>36</v>
      </c>
      <c r="K24" s="12">
        <v>4</v>
      </c>
      <c r="L24" s="12" t="s">
        <v>27</v>
      </c>
    </row>
    <row r="25" spans="1:12" x14ac:dyDescent="0.35">
      <c r="A25" s="12" t="s">
        <v>76</v>
      </c>
      <c r="B25" s="12" t="s">
        <v>77</v>
      </c>
      <c r="C25" s="12" t="s">
        <v>22</v>
      </c>
      <c r="D25" s="12">
        <v>47</v>
      </c>
      <c r="E25" s="12" t="s">
        <v>34</v>
      </c>
      <c r="F25" s="12" t="s">
        <v>16</v>
      </c>
      <c r="G25" s="13">
        <v>80.989999999999995</v>
      </c>
      <c r="H25" s="12">
        <v>26</v>
      </c>
      <c r="I25" s="12" t="s">
        <v>35</v>
      </c>
      <c r="J25" s="12" t="s">
        <v>18</v>
      </c>
      <c r="K25" s="12">
        <v>2</v>
      </c>
      <c r="L25" s="12" t="s">
        <v>19</v>
      </c>
    </row>
    <row r="26" spans="1:12" x14ac:dyDescent="0.35">
      <c r="A26" s="12" t="s">
        <v>78</v>
      </c>
      <c r="B26" s="12" t="s">
        <v>79</v>
      </c>
      <c r="C26" s="12" t="s">
        <v>14</v>
      </c>
      <c r="D26" s="12">
        <v>23</v>
      </c>
      <c r="E26" s="12" t="s">
        <v>15</v>
      </c>
      <c r="F26" s="12" t="s">
        <v>31</v>
      </c>
      <c r="G26" s="13">
        <v>25.99</v>
      </c>
      <c r="H26" s="12">
        <v>1</v>
      </c>
      <c r="I26" s="12" t="s">
        <v>25</v>
      </c>
      <c r="J26" s="12" t="s">
        <v>26</v>
      </c>
      <c r="K26" s="12">
        <v>7</v>
      </c>
      <c r="L26" s="12" t="s">
        <v>27</v>
      </c>
    </row>
    <row r="27" spans="1:12" x14ac:dyDescent="0.35">
      <c r="A27" s="12" t="s">
        <v>80</v>
      </c>
      <c r="B27" s="12" t="s">
        <v>81</v>
      </c>
      <c r="C27" s="12" t="s">
        <v>22</v>
      </c>
      <c r="D27" s="12">
        <v>36</v>
      </c>
      <c r="E27" s="12" t="s">
        <v>23</v>
      </c>
      <c r="F27" s="12" t="s">
        <v>24</v>
      </c>
      <c r="G27" s="13">
        <v>53.99</v>
      </c>
      <c r="H27" s="12">
        <v>17</v>
      </c>
      <c r="I27" s="12" t="s">
        <v>35</v>
      </c>
      <c r="J27" s="12" t="s">
        <v>18</v>
      </c>
      <c r="K27" s="12">
        <v>1</v>
      </c>
      <c r="L27" s="12" t="s">
        <v>19</v>
      </c>
    </row>
    <row r="28" spans="1:12" x14ac:dyDescent="0.35">
      <c r="A28" s="12" t="s">
        <v>82</v>
      </c>
      <c r="B28" s="12" t="s">
        <v>83</v>
      </c>
      <c r="C28" s="12" t="s">
        <v>14</v>
      </c>
      <c r="D28" s="12">
        <v>40</v>
      </c>
      <c r="E28" s="12" t="s">
        <v>30</v>
      </c>
      <c r="F28" s="12" t="s">
        <v>16</v>
      </c>
      <c r="G28" s="13">
        <v>83.99</v>
      </c>
      <c r="H28" s="12">
        <v>33</v>
      </c>
      <c r="I28" s="12" t="s">
        <v>17</v>
      </c>
      <c r="J28" s="12" t="s">
        <v>36</v>
      </c>
      <c r="K28" s="12">
        <v>2</v>
      </c>
      <c r="L28" s="12" t="s">
        <v>19</v>
      </c>
    </row>
    <row r="29" spans="1:12" x14ac:dyDescent="0.35">
      <c r="A29" s="12" t="s">
        <v>84</v>
      </c>
      <c r="B29" s="12" t="s">
        <v>85</v>
      </c>
      <c r="C29" s="12" t="s">
        <v>22</v>
      </c>
      <c r="D29" s="12">
        <v>29</v>
      </c>
      <c r="E29" s="12" t="s">
        <v>41</v>
      </c>
      <c r="F29" s="12" t="s">
        <v>31</v>
      </c>
      <c r="G29" s="13">
        <v>29.49</v>
      </c>
      <c r="H29" s="12">
        <v>6</v>
      </c>
      <c r="I29" s="12" t="s">
        <v>25</v>
      </c>
      <c r="J29" s="12" t="s">
        <v>18</v>
      </c>
      <c r="K29" s="12">
        <v>5</v>
      </c>
      <c r="L29" s="12" t="s">
        <v>27</v>
      </c>
    </row>
    <row r="30" spans="1:12" x14ac:dyDescent="0.35">
      <c r="A30" s="12" t="s">
        <v>86</v>
      </c>
      <c r="B30" s="12" t="s">
        <v>87</v>
      </c>
      <c r="C30" s="12" t="s">
        <v>14</v>
      </c>
      <c r="D30" s="12">
        <v>43</v>
      </c>
      <c r="E30" s="12" t="s">
        <v>34</v>
      </c>
      <c r="F30" s="12" t="s">
        <v>24</v>
      </c>
      <c r="G30" s="13">
        <v>48.99</v>
      </c>
      <c r="H30" s="12">
        <v>21</v>
      </c>
      <c r="I30" s="12" t="s">
        <v>35</v>
      </c>
      <c r="J30" s="12" t="s">
        <v>26</v>
      </c>
      <c r="K30" s="12">
        <v>2</v>
      </c>
      <c r="L30" s="12" t="s">
        <v>19</v>
      </c>
    </row>
    <row r="31" spans="1:12" x14ac:dyDescent="0.35">
      <c r="A31" s="12" t="s">
        <v>88</v>
      </c>
      <c r="B31" s="12" t="s">
        <v>89</v>
      </c>
      <c r="C31" s="12" t="s">
        <v>22</v>
      </c>
      <c r="D31" s="12">
        <v>31</v>
      </c>
      <c r="E31" s="12" t="s">
        <v>15</v>
      </c>
      <c r="F31" s="12" t="s">
        <v>16</v>
      </c>
      <c r="G31" s="13">
        <v>76.989999999999995</v>
      </c>
      <c r="H31" s="12">
        <v>13</v>
      </c>
      <c r="I31" s="12" t="s">
        <v>25</v>
      </c>
      <c r="J31" s="12" t="s">
        <v>36</v>
      </c>
      <c r="K31" s="12">
        <v>4</v>
      </c>
      <c r="L31" s="12" t="s">
        <v>27</v>
      </c>
    </row>
    <row r="32" spans="1:12" x14ac:dyDescent="0.35">
      <c r="A32" s="12" t="s">
        <v>90</v>
      </c>
      <c r="B32" s="12" t="s">
        <v>91</v>
      </c>
      <c r="C32" s="12" t="s">
        <v>14</v>
      </c>
      <c r="D32" s="12">
        <v>50</v>
      </c>
      <c r="E32" s="12" t="s">
        <v>23</v>
      </c>
      <c r="F32" s="12" t="s">
        <v>31</v>
      </c>
      <c r="G32" s="13">
        <v>32.99</v>
      </c>
      <c r="H32" s="12">
        <v>30</v>
      </c>
      <c r="I32" s="12" t="s">
        <v>17</v>
      </c>
      <c r="J32" s="12" t="s">
        <v>18</v>
      </c>
      <c r="K32" s="12">
        <v>1</v>
      </c>
      <c r="L32" s="12" t="s">
        <v>19</v>
      </c>
    </row>
    <row r="33" spans="1:12" x14ac:dyDescent="0.35">
      <c r="A33" s="12" t="s">
        <v>92</v>
      </c>
      <c r="B33" s="12" t="s">
        <v>93</v>
      </c>
      <c r="C33" s="12" t="s">
        <v>22</v>
      </c>
      <c r="D33" s="12">
        <v>27</v>
      </c>
      <c r="E33" s="12" t="s">
        <v>30</v>
      </c>
      <c r="F33" s="12" t="s">
        <v>24</v>
      </c>
      <c r="G33" s="13">
        <v>46.99</v>
      </c>
      <c r="H33" s="12">
        <v>5</v>
      </c>
      <c r="I33" s="12" t="s">
        <v>25</v>
      </c>
      <c r="J33" s="12" t="s">
        <v>26</v>
      </c>
      <c r="K33" s="12">
        <v>6</v>
      </c>
      <c r="L33" s="12" t="s">
        <v>27</v>
      </c>
    </row>
    <row r="34" spans="1:12" x14ac:dyDescent="0.35">
      <c r="A34" s="12" t="s">
        <v>94</v>
      </c>
      <c r="B34" s="12" t="s">
        <v>95</v>
      </c>
      <c r="C34" s="12" t="s">
        <v>14</v>
      </c>
      <c r="D34" s="12">
        <v>39</v>
      </c>
      <c r="E34" s="12" t="s">
        <v>41</v>
      </c>
      <c r="F34" s="12" t="s">
        <v>16</v>
      </c>
      <c r="G34" s="13">
        <v>88.99</v>
      </c>
      <c r="H34" s="12">
        <v>27</v>
      </c>
      <c r="I34" s="12" t="s">
        <v>35</v>
      </c>
      <c r="J34" s="12" t="s">
        <v>18</v>
      </c>
      <c r="K34" s="12">
        <v>1</v>
      </c>
      <c r="L34" s="12" t="s">
        <v>19</v>
      </c>
    </row>
    <row r="35" spans="1:12" x14ac:dyDescent="0.35">
      <c r="A35" s="12" t="s">
        <v>96</v>
      </c>
      <c r="B35" s="12" t="s">
        <v>97</v>
      </c>
      <c r="C35" s="12" t="s">
        <v>22</v>
      </c>
      <c r="D35" s="12">
        <v>45</v>
      </c>
      <c r="E35" s="12" t="s">
        <v>34</v>
      </c>
      <c r="F35" s="12" t="s">
        <v>31</v>
      </c>
      <c r="G35" s="13">
        <v>27.49</v>
      </c>
      <c r="H35" s="12">
        <v>16</v>
      </c>
      <c r="I35" s="12" t="s">
        <v>35</v>
      </c>
      <c r="J35" s="12" t="s">
        <v>36</v>
      </c>
      <c r="K35" s="12">
        <v>3</v>
      </c>
      <c r="L35" s="12" t="s">
        <v>19</v>
      </c>
    </row>
    <row r="36" spans="1:12" x14ac:dyDescent="0.35">
      <c r="A36" s="12" t="s">
        <v>98</v>
      </c>
      <c r="B36" s="12" t="s">
        <v>99</v>
      </c>
      <c r="C36" s="12" t="s">
        <v>14</v>
      </c>
      <c r="D36" s="12">
        <v>28</v>
      </c>
      <c r="E36" s="12" t="s">
        <v>15</v>
      </c>
      <c r="F36" s="12" t="s">
        <v>24</v>
      </c>
      <c r="G36" s="13">
        <v>51.49</v>
      </c>
      <c r="H36" s="12">
        <v>4</v>
      </c>
      <c r="I36" s="12" t="s">
        <v>25</v>
      </c>
      <c r="J36" s="12" t="s">
        <v>18</v>
      </c>
      <c r="K36" s="12">
        <v>7</v>
      </c>
      <c r="L36" s="12" t="s">
        <v>27</v>
      </c>
    </row>
    <row r="37" spans="1:12" x14ac:dyDescent="0.35">
      <c r="A37" s="12" t="s">
        <v>100</v>
      </c>
      <c r="B37" s="12" t="s">
        <v>101</v>
      </c>
      <c r="C37" s="12" t="s">
        <v>22</v>
      </c>
      <c r="D37" s="12">
        <v>52</v>
      </c>
      <c r="E37" s="12" t="s">
        <v>23</v>
      </c>
      <c r="F37" s="12" t="s">
        <v>16</v>
      </c>
      <c r="G37" s="13">
        <v>85.99</v>
      </c>
      <c r="H37" s="12">
        <v>40</v>
      </c>
      <c r="I37" s="12" t="s">
        <v>17</v>
      </c>
      <c r="J37" s="12" t="s">
        <v>26</v>
      </c>
      <c r="K37" s="12">
        <v>0</v>
      </c>
      <c r="L37" s="12" t="s">
        <v>19</v>
      </c>
    </row>
    <row r="38" spans="1:12" x14ac:dyDescent="0.35">
      <c r="A38" s="12" t="s">
        <v>102</v>
      </c>
      <c r="B38" s="12" t="s">
        <v>103</v>
      </c>
      <c r="C38" s="12" t="s">
        <v>14</v>
      </c>
      <c r="D38" s="12">
        <v>34</v>
      </c>
      <c r="E38" s="12" t="s">
        <v>30</v>
      </c>
      <c r="F38" s="12" t="s">
        <v>31</v>
      </c>
      <c r="G38" s="13">
        <v>30.49</v>
      </c>
      <c r="H38" s="12">
        <v>12</v>
      </c>
      <c r="I38" s="12" t="s">
        <v>35</v>
      </c>
      <c r="J38" s="12" t="s">
        <v>18</v>
      </c>
      <c r="K38" s="12">
        <v>2</v>
      </c>
      <c r="L38" s="12" t="s">
        <v>19</v>
      </c>
    </row>
    <row r="39" spans="1:12" x14ac:dyDescent="0.35">
      <c r="A39" s="12" t="s">
        <v>104</v>
      </c>
      <c r="B39" s="12" t="s">
        <v>105</v>
      </c>
      <c r="C39" s="12" t="s">
        <v>22</v>
      </c>
      <c r="D39" s="12">
        <v>26</v>
      </c>
      <c r="E39" s="12" t="s">
        <v>41</v>
      </c>
      <c r="F39" s="12" t="s">
        <v>24</v>
      </c>
      <c r="G39" s="13">
        <v>49.49</v>
      </c>
      <c r="H39" s="12">
        <v>3</v>
      </c>
      <c r="I39" s="12" t="s">
        <v>25</v>
      </c>
      <c r="J39" s="12" t="s">
        <v>36</v>
      </c>
      <c r="K39" s="12">
        <v>6</v>
      </c>
      <c r="L39" s="12" t="s">
        <v>27</v>
      </c>
    </row>
    <row r="40" spans="1:12" x14ac:dyDescent="0.35">
      <c r="A40" s="12" t="s">
        <v>106</v>
      </c>
      <c r="B40" s="12" t="s">
        <v>107</v>
      </c>
      <c r="C40" s="12" t="s">
        <v>14</v>
      </c>
      <c r="D40" s="12">
        <v>48</v>
      </c>
      <c r="E40" s="12" t="s">
        <v>34</v>
      </c>
      <c r="F40" s="12" t="s">
        <v>16</v>
      </c>
      <c r="G40" s="13">
        <v>81.99</v>
      </c>
      <c r="H40" s="12">
        <v>35</v>
      </c>
      <c r="I40" s="12" t="s">
        <v>17</v>
      </c>
      <c r="J40" s="12" t="s">
        <v>18</v>
      </c>
      <c r="K40" s="12">
        <v>1</v>
      </c>
      <c r="L40" s="12" t="s">
        <v>19</v>
      </c>
    </row>
    <row r="41" spans="1:12" x14ac:dyDescent="0.35">
      <c r="A41" s="12" t="s">
        <v>108</v>
      </c>
      <c r="B41" s="12" t="s">
        <v>109</v>
      </c>
      <c r="C41" s="12" t="s">
        <v>22</v>
      </c>
      <c r="D41" s="12">
        <v>37</v>
      </c>
      <c r="E41" s="12" t="s">
        <v>15</v>
      </c>
      <c r="F41" s="12" t="s">
        <v>24</v>
      </c>
      <c r="G41" s="13">
        <v>54.49</v>
      </c>
      <c r="H41" s="12">
        <v>8</v>
      </c>
      <c r="I41" s="12" t="s">
        <v>25</v>
      </c>
      <c r="J41" s="12" t="s">
        <v>26</v>
      </c>
      <c r="K41" s="12">
        <v>5</v>
      </c>
      <c r="L41" s="12" t="s">
        <v>27</v>
      </c>
    </row>
    <row r="42" spans="1:12" x14ac:dyDescent="0.35">
      <c r="A42" s="12" t="s">
        <v>110</v>
      </c>
      <c r="B42" s="12" t="s">
        <v>113</v>
      </c>
      <c r="C42" s="12" t="s">
        <v>14</v>
      </c>
      <c r="D42" s="12">
        <v>26</v>
      </c>
      <c r="E42" s="12" t="s">
        <v>114</v>
      </c>
      <c r="F42" s="12" t="s">
        <v>24</v>
      </c>
      <c r="G42" s="13">
        <v>46.99</v>
      </c>
      <c r="H42" s="12">
        <v>10</v>
      </c>
      <c r="I42" s="12" t="s">
        <v>35</v>
      </c>
      <c r="J42" s="12" t="s">
        <v>18</v>
      </c>
      <c r="K42" s="12">
        <v>4</v>
      </c>
      <c r="L42" s="12" t="s">
        <v>27</v>
      </c>
    </row>
  </sheetData>
  <dataValidations count="4">
    <dataValidation type="list" allowBlank="1" showInputMessage="1" showErrorMessage="1" sqref="L2:L1048576" xr:uid="{97B684DA-74C5-4FF8-8889-A3593FD7FC94}">
      <formula1>"Yes,No"</formula1>
    </dataValidation>
    <dataValidation type="list" allowBlank="1" showInputMessage="1" showErrorMessage="1" sqref="C2:C1048576" xr:uid="{D1400563-B3AF-4477-862B-78D405F08CC0}">
      <formula1>"Male,Female"</formula1>
    </dataValidation>
    <dataValidation type="list" allowBlank="1" showInputMessage="1" showErrorMessage="1" sqref="F2:F1048576" xr:uid="{48CA2A73-BCD4-45EB-A9B9-B256C5CDA78D}">
      <formula1>"Basic,Standard,Premium"</formula1>
    </dataValidation>
    <dataValidation type="list" allowBlank="1" showInputMessage="1" showErrorMessage="1" sqref="I2:I1048576" xr:uid="{828D1600-3276-4E28-8F37-C5035E3F1724}">
      <formula1>"Monthly,One Year,Two Year"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A147-7791-4AC7-A31F-9D4F4360D01D}">
  <dimension ref="A1:N41"/>
  <sheetViews>
    <sheetView zoomScale="90" zoomScaleNormal="70" workbookViewId="0">
      <pane ySplit="1" topLeftCell="A2" activePane="bottomLeft" state="frozen"/>
      <selection activeCell="D1" sqref="D1"/>
      <selection pane="bottomLeft"/>
    </sheetView>
  </sheetViews>
  <sheetFormatPr defaultRowHeight="14.5" x14ac:dyDescent="0.35"/>
  <cols>
    <col min="1" max="1" width="17.7265625" bestFit="1" customWidth="1"/>
    <col min="2" max="2" width="20.90625" bestFit="1" customWidth="1"/>
    <col min="3" max="3" width="13.453125" bestFit="1" customWidth="1"/>
    <col min="4" max="4" width="10.36328125" bestFit="1" customWidth="1"/>
    <col min="5" max="5" width="13.54296875" bestFit="1" customWidth="1"/>
    <col min="6" max="6" width="17" bestFit="1" customWidth="1"/>
    <col min="7" max="7" width="20.7265625" bestFit="1" customWidth="1"/>
    <col min="8" max="8" width="18.81640625" bestFit="1" customWidth="1"/>
    <col min="9" max="9" width="17.81640625" bestFit="1" customWidth="1"/>
    <col min="10" max="10" width="20.453125" bestFit="1" customWidth="1"/>
    <col min="11" max="11" width="17.54296875" bestFit="1" customWidth="1"/>
    <col min="12" max="12" width="11.453125" bestFit="1" customWidth="1"/>
    <col min="13" max="13" width="17" bestFit="1" customWidth="1"/>
    <col min="14" max="14" width="22.453125" bestFit="1" customWidth="1"/>
  </cols>
  <sheetData>
    <row r="1" spans="1:14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10" t="s">
        <v>11</v>
      </c>
      <c r="M1" s="11" t="s">
        <v>111</v>
      </c>
      <c r="N1" s="11" t="s">
        <v>112</v>
      </c>
    </row>
    <row r="2" spans="1:14" x14ac:dyDescent="0.35">
      <c r="A2" s="14" t="str">
        <f>Table1[[#This Row],[Customer ID]]</f>
        <v>C001</v>
      </c>
      <c r="B2" s="14" t="str">
        <f>PROPER(TRIM(Table1[[#This Row],[Customer Name]]))</f>
        <v>John Smith</v>
      </c>
      <c r="C2" s="14" t="str">
        <f>Table1[[#This Row],[Gender]]</f>
        <v>Male</v>
      </c>
      <c r="D2" s="14">
        <f>Table1[[#This Row],[Age]]</f>
        <v>28</v>
      </c>
      <c r="E2" s="14" t="str">
        <f>Table1[[#This Row],[Location]]</f>
        <v>New York</v>
      </c>
      <c r="F2" s="14" t="str">
        <f>Table1[[#This Row],[Subscription]]</f>
        <v>Premium</v>
      </c>
      <c r="G2" s="15">
        <f>Table1[[#This Row],[Monthly Charges]]</f>
        <v>79.989999999999995</v>
      </c>
      <c r="H2" s="14">
        <f>Table1[[#This Row],[Tenure Months]]</f>
        <v>24</v>
      </c>
      <c r="I2" s="14" t="str">
        <f>Table1[[#This Row],[Contract Type]]</f>
        <v>Two Year</v>
      </c>
      <c r="J2" s="14" t="str">
        <f>Table1[[#This Row],[Payment Method]]</f>
        <v>Credit Card</v>
      </c>
      <c r="K2" s="14">
        <f>Table1[[#This Row],[Support Calls]]</f>
        <v>1</v>
      </c>
      <c r="L2" s="14" t="str">
        <f>Table1[[#This Row],[Churn]]</f>
        <v>No</v>
      </c>
      <c r="M2" s="14" t="str">
        <f>IF(Table2[[#This Row],[Churn]]="Yes","Churned","Active")</f>
        <v>Active</v>
      </c>
      <c r="N2" s="14" t="str">
        <f>IF(Table2[[#This Row],[Tenure Months]]&lt;=6,"New",IF(Table2[[#This Row],[Tenure Months]]&lt;=24,"Established","Loyal"))</f>
        <v>Established</v>
      </c>
    </row>
    <row r="3" spans="1:14" x14ac:dyDescent="0.35">
      <c r="A3" s="14" t="str">
        <f>Table1[[#This Row],[Customer ID]]</f>
        <v>C002</v>
      </c>
      <c r="B3" s="14" t="str">
        <f>PROPER(TRIM(Table1[[#This Row],[Customer Name]]))</f>
        <v>Sarah Johnson</v>
      </c>
      <c r="C3" s="14" t="str">
        <f>Table1[[#This Row],[Gender]]</f>
        <v>Female</v>
      </c>
      <c r="D3" s="14">
        <f>Table1[[#This Row],[Age]]</f>
        <v>35</v>
      </c>
      <c r="E3" s="14" t="str">
        <f>Table1[[#This Row],[Location]]</f>
        <v>California</v>
      </c>
      <c r="F3" s="14" t="str">
        <f>Table1[[#This Row],[Subscription]]</f>
        <v>Standard</v>
      </c>
      <c r="G3" s="15">
        <f>Table1[[#This Row],[Monthly Charges]]</f>
        <v>49.99</v>
      </c>
      <c r="H3" s="14">
        <f>Table1[[#This Row],[Tenure Months]]</f>
        <v>8</v>
      </c>
      <c r="I3" s="14" t="str">
        <f>Table1[[#This Row],[Contract Type]]</f>
        <v>Monthly</v>
      </c>
      <c r="J3" s="14" t="str">
        <f>Table1[[#This Row],[Payment Method]]</f>
        <v>Bank Transfer</v>
      </c>
      <c r="K3" s="14">
        <f>Table1[[#This Row],[Support Calls]]</f>
        <v>4</v>
      </c>
      <c r="L3" s="14" t="str">
        <f>Table1[[#This Row],[Churn]]</f>
        <v>Yes</v>
      </c>
      <c r="M3" s="14" t="str">
        <f>IF(Table2[[#This Row],[Churn]]="Yes","Churned","Active")</f>
        <v>Churned</v>
      </c>
      <c r="N3" s="14" t="str">
        <f>IF(Table2[[#This Row],[Tenure Months]]&lt;=6,"New",IF(Table2[[#This Row],[Tenure Months]]&lt;=24,"Established","Loyal"))</f>
        <v>Established</v>
      </c>
    </row>
    <row r="4" spans="1:14" x14ac:dyDescent="0.35">
      <c r="A4" s="14" t="str">
        <f>Table1[[#This Row],[Customer ID]]</f>
        <v>C003</v>
      </c>
      <c r="B4" s="14" t="str">
        <f>PROPER(TRIM(Table1[[#This Row],[Customer Name]]))</f>
        <v>Michael Brown</v>
      </c>
      <c r="C4" s="14" t="str">
        <f>Table1[[#This Row],[Gender]]</f>
        <v>Male</v>
      </c>
      <c r="D4" s="14">
        <f>Table1[[#This Row],[Age]]</f>
        <v>42</v>
      </c>
      <c r="E4" s="14" t="str">
        <f>Table1[[#This Row],[Location]]</f>
        <v>Texas</v>
      </c>
      <c r="F4" s="14" t="str">
        <f>Table1[[#This Row],[Subscription]]</f>
        <v>Basic</v>
      </c>
      <c r="G4" s="15">
        <f>Table1[[#This Row],[Monthly Charges]]</f>
        <v>29.99</v>
      </c>
      <c r="H4" s="14">
        <f>Table1[[#This Row],[Tenure Months]]</f>
        <v>36</v>
      </c>
      <c r="I4" s="14" t="str">
        <f>Table1[[#This Row],[Contract Type]]</f>
        <v>Two Year</v>
      </c>
      <c r="J4" s="14" t="str">
        <f>Table1[[#This Row],[Payment Method]]</f>
        <v>Credit Card</v>
      </c>
      <c r="K4" s="14">
        <f>Table1[[#This Row],[Support Calls]]</f>
        <v>0</v>
      </c>
      <c r="L4" s="14" t="str">
        <f>Table1[[#This Row],[Churn]]</f>
        <v>No</v>
      </c>
      <c r="M4" s="14" t="str">
        <f>IF(Table2[[#This Row],[Churn]]="Yes","Churned","Active")</f>
        <v>Active</v>
      </c>
      <c r="N4" s="14" t="str">
        <f>IF(Table2[[#This Row],[Tenure Months]]&lt;=6,"New",IF(Table2[[#This Row],[Tenure Months]]&lt;=24,"Established","Loyal"))</f>
        <v>Loyal</v>
      </c>
    </row>
    <row r="5" spans="1:14" x14ac:dyDescent="0.35">
      <c r="A5" s="14" t="str">
        <f>Table1[[#This Row],[Customer ID]]</f>
        <v>C004</v>
      </c>
      <c r="B5" s="14" t="str">
        <f>PROPER(TRIM(Table1[[#This Row],[Customer Name]]))</f>
        <v>Emily Davis</v>
      </c>
      <c r="C5" s="14" t="str">
        <f>Table1[[#This Row],[Gender]]</f>
        <v>Female</v>
      </c>
      <c r="D5" s="14">
        <f>Table1[[#This Row],[Age]]</f>
        <v>31</v>
      </c>
      <c r="E5" s="14" t="str">
        <f>Table1[[#This Row],[Location]]</f>
        <v>Florida</v>
      </c>
      <c r="F5" s="14" t="str">
        <f>Table1[[#This Row],[Subscription]]</f>
        <v>Premium</v>
      </c>
      <c r="G5" s="15">
        <f>Table1[[#This Row],[Monthly Charges]]</f>
        <v>84.99</v>
      </c>
      <c r="H5" s="14">
        <f>Table1[[#This Row],[Tenure Months]]</f>
        <v>18</v>
      </c>
      <c r="I5" s="14" t="str">
        <f>Table1[[#This Row],[Contract Type]]</f>
        <v>One Year</v>
      </c>
      <c r="J5" s="14" t="str">
        <f>Table1[[#This Row],[Payment Method]]</f>
        <v>PayPal</v>
      </c>
      <c r="K5" s="14">
        <f>Table1[[#This Row],[Support Calls]]</f>
        <v>2</v>
      </c>
      <c r="L5" s="14" t="str">
        <f>Table1[[#This Row],[Churn]]</f>
        <v>No</v>
      </c>
      <c r="M5" s="14" t="str">
        <f>IF(Table2[[#This Row],[Churn]]="Yes","Churned","Active")</f>
        <v>Active</v>
      </c>
      <c r="N5" s="14" t="str">
        <f>IF(Table2[[#This Row],[Tenure Months]]&lt;=6,"New",IF(Table2[[#This Row],[Tenure Months]]&lt;=24,"Established","Loyal"))</f>
        <v>Established</v>
      </c>
    </row>
    <row r="6" spans="1:14" x14ac:dyDescent="0.35">
      <c r="A6" s="14" t="str">
        <f>Table1[[#This Row],[Customer ID]]</f>
        <v>C005</v>
      </c>
      <c r="B6" s="14" t="str">
        <f>PROPER(TRIM(Table1[[#This Row],[Customer Name]]))</f>
        <v>David Wilson</v>
      </c>
      <c r="C6" s="14" t="str">
        <f>Table1[[#This Row],[Gender]]</f>
        <v>Male</v>
      </c>
      <c r="D6" s="14">
        <f>Table1[[#This Row],[Age]]</f>
        <v>24</v>
      </c>
      <c r="E6" s="14" t="str">
        <f>Table1[[#This Row],[Location]]</f>
        <v>New York</v>
      </c>
      <c r="F6" s="14" t="str">
        <f>Table1[[#This Row],[Subscription]]</f>
        <v>Basic</v>
      </c>
      <c r="G6" s="15">
        <f>Table1[[#This Row],[Monthly Charges]]</f>
        <v>24.99</v>
      </c>
      <c r="H6" s="14">
        <f>Table1[[#This Row],[Tenure Months]]</f>
        <v>4</v>
      </c>
      <c r="I6" s="14" t="str">
        <f>Table1[[#This Row],[Contract Type]]</f>
        <v>Monthly</v>
      </c>
      <c r="J6" s="14" t="str">
        <f>Table1[[#This Row],[Payment Method]]</f>
        <v>Credit Card</v>
      </c>
      <c r="K6" s="14">
        <f>Table1[[#This Row],[Support Calls]]</f>
        <v>5</v>
      </c>
      <c r="L6" s="14" t="str">
        <f>Table1[[#This Row],[Churn]]</f>
        <v>Yes</v>
      </c>
      <c r="M6" s="14" t="str">
        <f>IF(Table2[[#This Row],[Churn]]="Yes","Churned","Active")</f>
        <v>Churned</v>
      </c>
      <c r="N6" s="14" t="str">
        <f>IF(Table2[[#This Row],[Tenure Months]]&lt;=6,"New",IF(Table2[[#This Row],[Tenure Months]]&lt;=24,"Established","Loyal"))</f>
        <v>New</v>
      </c>
    </row>
    <row r="7" spans="1:14" x14ac:dyDescent="0.35">
      <c r="A7" s="14" t="str">
        <f>Table1[[#This Row],[Customer ID]]</f>
        <v>C006</v>
      </c>
      <c r="B7" s="14" t="str">
        <f>PROPER(TRIM(Table1[[#This Row],[Customer Name]]))</f>
        <v>Jessica Miller</v>
      </c>
      <c r="C7" s="14" t="str">
        <f>Table1[[#This Row],[Gender]]</f>
        <v>Female</v>
      </c>
      <c r="D7" s="14">
        <f>Table1[[#This Row],[Age]]</f>
        <v>39</v>
      </c>
      <c r="E7" s="14" t="str">
        <f>Table1[[#This Row],[Location]]</f>
        <v>Illinois</v>
      </c>
      <c r="F7" s="14" t="str">
        <f>Table1[[#This Row],[Subscription]]</f>
        <v>Standard</v>
      </c>
      <c r="G7" s="15">
        <f>Table1[[#This Row],[Monthly Charges]]</f>
        <v>54.99</v>
      </c>
      <c r="H7" s="14">
        <f>Table1[[#This Row],[Tenure Months]]</f>
        <v>15</v>
      </c>
      <c r="I7" s="14" t="str">
        <f>Table1[[#This Row],[Contract Type]]</f>
        <v>One Year</v>
      </c>
      <c r="J7" s="14" t="str">
        <f>Table1[[#This Row],[Payment Method]]</f>
        <v>Bank Transfer</v>
      </c>
      <c r="K7" s="14">
        <f>Table1[[#This Row],[Support Calls]]</f>
        <v>2</v>
      </c>
      <c r="L7" s="14" t="str">
        <f>Table1[[#This Row],[Churn]]</f>
        <v>No</v>
      </c>
      <c r="M7" s="14" t="str">
        <f>IF(Table2[[#This Row],[Churn]]="Yes","Churned","Active")</f>
        <v>Active</v>
      </c>
      <c r="N7" s="14" t="str">
        <f>IF(Table2[[#This Row],[Tenure Months]]&lt;=6,"New",IF(Table2[[#This Row],[Tenure Months]]&lt;=24,"Established","Loyal"))</f>
        <v>Established</v>
      </c>
    </row>
    <row r="8" spans="1:14" x14ac:dyDescent="0.35">
      <c r="A8" s="14" t="str">
        <f>Table1[[#This Row],[Customer ID]]</f>
        <v>C007</v>
      </c>
      <c r="B8" s="14" t="str">
        <f>PROPER(TRIM(Table1[[#This Row],[Customer Name]]))</f>
        <v>Daniel Moore</v>
      </c>
      <c r="C8" s="14" t="str">
        <f>Table1[[#This Row],[Gender]]</f>
        <v>Male</v>
      </c>
      <c r="D8" s="14">
        <f>Table1[[#This Row],[Age]]</f>
        <v>51</v>
      </c>
      <c r="E8" s="14" t="str">
        <f>Table1[[#This Row],[Location]]</f>
        <v>Texas</v>
      </c>
      <c r="F8" s="14" t="str">
        <f>Table1[[#This Row],[Subscription]]</f>
        <v>Premium</v>
      </c>
      <c r="G8" s="15">
        <f>Table1[[#This Row],[Monthly Charges]]</f>
        <v>89.99</v>
      </c>
      <c r="H8" s="14">
        <f>Table1[[#This Row],[Tenure Months]]</f>
        <v>42</v>
      </c>
      <c r="I8" s="14" t="str">
        <f>Table1[[#This Row],[Contract Type]]</f>
        <v>Two Year</v>
      </c>
      <c r="J8" s="14" t="str">
        <f>Table1[[#This Row],[Payment Method]]</f>
        <v>Credit Card</v>
      </c>
      <c r="K8" s="14">
        <f>Table1[[#This Row],[Support Calls]]</f>
        <v>1</v>
      </c>
      <c r="L8" s="14" t="str">
        <f>Table1[[#This Row],[Churn]]</f>
        <v>No</v>
      </c>
      <c r="M8" s="14" t="str">
        <f>IF(Table2[[#This Row],[Churn]]="Yes","Churned","Active")</f>
        <v>Active</v>
      </c>
      <c r="N8" s="14" t="str">
        <f>IF(Table2[[#This Row],[Tenure Months]]&lt;=6,"New",IF(Table2[[#This Row],[Tenure Months]]&lt;=24,"Established","Loyal"))</f>
        <v>Loyal</v>
      </c>
    </row>
    <row r="9" spans="1:14" x14ac:dyDescent="0.35">
      <c r="A9" s="14" t="str">
        <f>Table1[[#This Row],[Customer ID]]</f>
        <v>C008</v>
      </c>
      <c r="B9" s="14" t="str">
        <f>PROPER(TRIM(Table1[[#This Row],[Customer Name]]))</f>
        <v>Ashley Taylor</v>
      </c>
      <c r="C9" s="14" t="str">
        <f>Table1[[#This Row],[Gender]]</f>
        <v>Female</v>
      </c>
      <c r="D9" s="14">
        <f>Table1[[#This Row],[Age]]</f>
        <v>27</v>
      </c>
      <c r="E9" s="14" t="str">
        <f>Table1[[#This Row],[Location]]</f>
        <v>California</v>
      </c>
      <c r="F9" s="14" t="str">
        <f>Table1[[#This Row],[Subscription]]</f>
        <v>Basic</v>
      </c>
      <c r="G9" s="15">
        <f>Table1[[#This Row],[Monthly Charges]]</f>
        <v>27.99</v>
      </c>
      <c r="H9" s="14">
        <f>Table1[[#This Row],[Tenure Months]]</f>
        <v>6</v>
      </c>
      <c r="I9" s="14" t="str">
        <f>Table1[[#This Row],[Contract Type]]</f>
        <v>Monthly</v>
      </c>
      <c r="J9" s="14" t="str">
        <f>Table1[[#This Row],[Payment Method]]</f>
        <v>PayPal</v>
      </c>
      <c r="K9" s="14">
        <f>Table1[[#This Row],[Support Calls]]</f>
        <v>6</v>
      </c>
      <c r="L9" s="14" t="str">
        <f>Table1[[#This Row],[Churn]]</f>
        <v>Yes</v>
      </c>
      <c r="M9" s="14" t="str">
        <f>IF(Table2[[#This Row],[Churn]]="Yes","Churned","Active")</f>
        <v>Churned</v>
      </c>
      <c r="N9" s="14" t="str">
        <f>IF(Table2[[#This Row],[Tenure Months]]&lt;=6,"New",IF(Table2[[#This Row],[Tenure Months]]&lt;=24,"Established","Loyal"))</f>
        <v>New</v>
      </c>
    </row>
    <row r="10" spans="1:14" x14ac:dyDescent="0.35">
      <c r="A10" s="14" t="str">
        <f>Table1[[#This Row],[Customer ID]]</f>
        <v>C009</v>
      </c>
      <c r="B10" s="14" t="str">
        <f>PROPER(TRIM(Table1[[#This Row],[Customer Name]]))</f>
        <v>Christopher Anderson</v>
      </c>
      <c r="C10" s="14" t="str">
        <f>Table1[[#This Row],[Gender]]</f>
        <v>Male</v>
      </c>
      <c r="D10" s="14">
        <f>Table1[[#This Row],[Age]]</f>
        <v>45</v>
      </c>
      <c r="E10" s="14" t="str">
        <f>Table1[[#This Row],[Location]]</f>
        <v>Florida</v>
      </c>
      <c r="F10" s="14" t="str">
        <f>Table1[[#This Row],[Subscription]]</f>
        <v>Standard</v>
      </c>
      <c r="G10" s="15">
        <f>Table1[[#This Row],[Monthly Charges]]</f>
        <v>52.99</v>
      </c>
      <c r="H10" s="14">
        <f>Table1[[#This Row],[Tenure Months]]</f>
        <v>20</v>
      </c>
      <c r="I10" s="14" t="str">
        <f>Table1[[#This Row],[Contract Type]]</f>
        <v>One Year</v>
      </c>
      <c r="J10" s="14" t="str">
        <f>Table1[[#This Row],[Payment Method]]</f>
        <v>Credit Card</v>
      </c>
      <c r="K10" s="14">
        <f>Table1[[#This Row],[Support Calls]]</f>
        <v>2</v>
      </c>
      <c r="L10" s="14" t="str">
        <f>Table1[[#This Row],[Churn]]</f>
        <v>No</v>
      </c>
      <c r="M10" s="14" t="str">
        <f>IF(Table2[[#This Row],[Churn]]="Yes","Churned","Active")</f>
        <v>Active</v>
      </c>
      <c r="N10" s="14" t="str">
        <f>IF(Table2[[#This Row],[Tenure Months]]&lt;=6,"New",IF(Table2[[#This Row],[Tenure Months]]&lt;=24,"Established","Loyal"))</f>
        <v>Established</v>
      </c>
    </row>
    <row r="11" spans="1:14" x14ac:dyDescent="0.35">
      <c r="A11" s="14" t="str">
        <f>Table1[[#This Row],[Customer ID]]</f>
        <v>C010</v>
      </c>
      <c r="B11" s="14" t="str">
        <f>PROPER(TRIM(Table1[[#This Row],[Customer Name]]))</f>
        <v>Amanda Thomas</v>
      </c>
      <c r="C11" s="14" t="str">
        <f>Table1[[#This Row],[Gender]]</f>
        <v>Female</v>
      </c>
      <c r="D11" s="14">
        <f>Table1[[#This Row],[Age]]</f>
        <v>33</v>
      </c>
      <c r="E11" s="14" t="str">
        <f>Table1[[#This Row],[Location]]</f>
        <v>New York</v>
      </c>
      <c r="F11" s="14" t="str">
        <f>Table1[[#This Row],[Subscription]]</f>
        <v>Premium</v>
      </c>
      <c r="G11" s="15">
        <f>Table1[[#This Row],[Monthly Charges]]</f>
        <v>74.989999999999995</v>
      </c>
      <c r="H11" s="14">
        <f>Table1[[#This Row],[Tenure Months]]</f>
        <v>10</v>
      </c>
      <c r="I11" s="14" t="str">
        <f>Table1[[#This Row],[Contract Type]]</f>
        <v>Monthly</v>
      </c>
      <c r="J11" s="14" t="str">
        <f>Table1[[#This Row],[Payment Method]]</f>
        <v>Bank Transfer</v>
      </c>
      <c r="K11" s="14">
        <f>Table1[[#This Row],[Support Calls]]</f>
        <v>5</v>
      </c>
      <c r="L11" s="14" t="str">
        <f>Table1[[#This Row],[Churn]]</f>
        <v>Yes</v>
      </c>
      <c r="M11" s="14" t="str">
        <f>IF(Table2[[#This Row],[Churn]]="Yes","Churned","Active")</f>
        <v>Churned</v>
      </c>
      <c r="N11" s="14" t="str">
        <f>IF(Table2[[#This Row],[Tenure Months]]&lt;=6,"New",IF(Table2[[#This Row],[Tenure Months]]&lt;=24,"Established","Loyal"))</f>
        <v>Established</v>
      </c>
    </row>
    <row r="12" spans="1:14" x14ac:dyDescent="0.35">
      <c r="A12" s="14" t="str">
        <f>Table1[[#This Row],[Customer ID]]</f>
        <v>C011</v>
      </c>
      <c r="B12" s="14" t="str">
        <f>PROPER(TRIM(Table1[[#This Row],[Customer Name]]))</f>
        <v>Matthew Jackson</v>
      </c>
      <c r="C12" s="14" t="str">
        <f>Table1[[#This Row],[Gender]]</f>
        <v>Male</v>
      </c>
      <c r="D12" s="14">
        <f>Table1[[#This Row],[Age]]</f>
        <v>29</v>
      </c>
      <c r="E12" s="14" t="str">
        <f>Table1[[#This Row],[Location]]</f>
        <v>California</v>
      </c>
      <c r="F12" s="14" t="str">
        <f>Table1[[#This Row],[Subscription]]</f>
        <v>Standard</v>
      </c>
      <c r="G12" s="15">
        <f>Table1[[#This Row],[Monthly Charges]]</f>
        <v>47.99</v>
      </c>
      <c r="H12" s="14">
        <f>Table1[[#This Row],[Tenure Months]]</f>
        <v>28</v>
      </c>
      <c r="I12" s="14" t="str">
        <f>Table1[[#This Row],[Contract Type]]</f>
        <v>Two Year</v>
      </c>
      <c r="J12" s="14" t="str">
        <f>Table1[[#This Row],[Payment Method]]</f>
        <v>Credit Card</v>
      </c>
      <c r="K12" s="14">
        <f>Table1[[#This Row],[Support Calls]]</f>
        <v>1</v>
      </c>
      <c r="L12" s="14" t="str">
        <f>Table1[[#This Row],[Churn]]</f>
        <v>No</v>
      </c>
      <c r="M12" s="14" t="str">
        <f>IF(Table2[[#This Row],[Churn]]="Yes","Churned","Active")</f>
        <v>Active</v>
      </c>
      <c r="N12" s="14" t="str">
        <f>IF(Table2[[#This Row],[Tenure Months]]&lt;=6,"New",IF(Table2[[#This Row],[Tenure Months]]&lt;=24,"Established","Loyal"))</f>
        <v>Loyal</v>
      </c>
    </row>
    <row r="13" spans="1:14" x14ac:dyDescent="0.35">
      <c r="A13" s="14" t="str">
        <f>Table1[[#This Row],[Customer ID]]</f>
        <v>C012</v>
      </c>
      <c r="B13" s="14" t="str">
        <f>PROPER(TRIM(Table1[[#This Row],[Customer Name]]))</f>
        <v>Jennifer White</v>
      </c>
      <c r="C13" s="14" t="str">
        <f>Table1[[#This Row],[Gender]]</f>
        <v>Female</v>
      </c>
      <c r="D13" s="14">
        <f>Table1[[#This Row],[Age]]</f>
        <v>46</v>
      </c>
      <c r="E13" s="14" t="str">
        <f>Table1[[#This Row],[Location]]</f>
        <v>Texas</v>
      </c>
      <c r="F13" s="14" t="str">
        <f>Table1[[#This Row],[Subscription]]</f>
        <v>Basic</v>
      </c>
      <c r="G13" s="15">
        <f>Table1[[#This Row],[Monthly Charges]]</f>
        <v>31.99</v>
      </c>
      <c r="H13" s="14">
        <f>Table1[[#This Row],[Tenure Months]]</f>
        <v>3</v>
      </c>
      <c r="I13" s="14" t="str">
        <f>Table1[[#This Row],[Contract Type]]</f>
        <v>Monthly</v>
      </c>
      <c r="J13" s="14" t="str">
        <f>Table1[[#This Row],[Payment Method]]</f>
        <v>PayPal</v>
      </c>
      <c r="K13" s="14">
        <f>Table1[[#This Row],[Support Calls]]</f>
        <v>7</v>
      </c>
      <c r="L13" s="14" t="str">
        <f>Table1[[#This Row],[Churn]]</f>
        <v>Yes</v>
      </c>
      <c r="M13" s="14" t="str">
        <f>IF(Table2[[#This Row],[Churn]]="Yes","Churned","Active")</f>
        <v>Churned</v>
      </c>
      <c r="N13" s="14" t="str">
        <f>IF(Table2[[#This Row],[Tenure Months]]&lt;=6,"New",IF(Table2[[#This Row],[Tenure Months]]&lt;=24,"Established","Loyal"))</f>
        <v>New</v>
      </c>
    </row>
    <row r="14" spans="1:14" x14ac:dyDescent="0.35">
      <c r="A14" s="14" t="str">
        <f>Table1[[#This Row],[Customer ID]]</f>
        <v>C013</v>
      </c>
      <c r="B14" s="14" t="str">
        <f>PROPER(TRIM(Table1[[#This Row],[Customer Name]]))</f>
        <v>Joshua Harris</v>
      </c>
      <c r="C14" s="14" t="str">
        <f>Table1[[#This Row],[Gender]]</f>
        <v>Male</v>
      </c>
      <c r="D14" s="14">
        <f>Table1[[#This Row],[Age]]</f>
        <v>37</v>
      </c>
      <c r="E14" s="14" t="str">
        <f>Table1[[#This Row],[Location]]</f>
        <v>Illinois</v>
      </c>
      <c r="F14" s="14" t="str">
        <f>Table1[[#This Row],[Subscription]]</f>
        <v>Premium</v>
      </c>
      <c r="G14" s="15">
        <f>Table1[[#This Row],[Monthly Charges]]</f>
        <v>82.99</v>
      </c>
      <c r="H14" s="14">
        <f>Table1[[#This Row],[Tenure Months]]</f>
        <v>31</v>
      </c>
      <c r="I14" s="14" t="str">
        <f>Table1[[#This Row],[Contract Type]]</f>
        <v>Two Year</v>
      </c>
      <c r="J14" s="14" t="str">
        <f>Table1[[#This Row],[Payment Method]]</f>
        <v>Credit Card</v>
      </c>
      <c r="K14" s="14">
        <f>Table1[[#This Row],[Support Calls]]</f>
        <v>0</v>
      </c>
      <c r="L14" s="14" t="str">
        <f>Table1[[#This Row],[Churn]]</f>
        <v>No</v>
      </c>
      <c r="M14" s="14" t="str">
        <f>IF(Table2[[#This Row],[Churn]]="Yes","Churned","Active")</f>
        <v>Active</v>
      </c>
      <c r="N14" s="14" t="str">
        <f>IF(Table2[[#This Row],[Tenure Months]]&lt;=6,"New",IF(Table2[[#This Row],[Tenure Months]]&lt;=24,"Established","Loyal"))</f>
        <v>Loyal</v>
      </c>
    </row>
    <row r="15" spans="1:14" x14ac:dyDescent="0.35">
      <c r="A15" s="14" t="str">
        <f>Table1[[#This Row],[Customer ID]]</f>
        <v>C014</v>
      </c>
      <c r="B15" s="14" t="str">
        <f>PROPER(TRIM(Table1[[#This Row],[Customer Name]]))</f>
        <v>Elizabeth Martin</v>
      </c>
      <c r="C15" s="14" t="str">
        <f>Table1[[#This Row],[Gender]]</f>
        <v>Female</v>
      </c>
      <c r="D15" s="14">
        <f>Table1[[#This Row],[Age]]</f>
        <v>41</v>
      </c>
      <c r="E15" s="14" t="str">
        <f>Table1[[#This Row],[Location]]</f>
        <v>Florida</v>
      </c>
      <c r="F15" s="14" t="str">
        <f>Table1[[#This Row],[Subscription]]</f>
        <v>Standard</v>
      </c>
      <c r="G15" s="15">
        <f>Table1[[#This Row],[Monthly Charges]]</f>
        <v>51.99</v>
      </c>
      <c r="H15" s="14">
        <f>Table1[[#This Row],[Tenure Months]]</f>
        <v>14</v>
      </c>
      <c r="I15" s="14" t="str">
        <f>Table1[[#This Row],[Contract Type]]</f>
        <v>One Year</v>
      </c>
      <c r="J15" s="14" t="str">
        <f>Table1[[#This Row],[Payment Method]]</f>
        <v>Bank Transfer</v>
      </c>
      <c r="K15" s="14">
        <f>Table1[[#This Row],[Support Calls]]</f>
        <v>3</v>
      </c>
      <c r="L15" s="14" t="str">
        <f>Table1[[#This Row],[Churn]]</f>
        <v>No</v>
      </c>
      <c r="M15" s="14" t="str">
        <f>IF(Table2[[#This Row],[Churn]]="Yes","Churned","Active")</f>
        <v>Active</v>
      </c>
      <c r="N15" s="14" t="str">
        <f>IF(Table2[[#This Row],[Tenure Months]]&lt;=6,"New",IF(Table2[[#This Row],[Tenure Months]]&lt;=24,"Established","Loyal"))</f>
        <v>Established</v>
      </c>
    </row>
    <row r="16" spans="1:14" x14ac:dyDescent="0.35">
      <c r="A16" s="14" t="str">
        <f>Table1[[#This Row],[Customer ID]]</f>
        <v>C015</v>
      </c>
      <c r="B16" s="14" t="str">
        <f>PROPER(TRIM(Table1[[#This Row],[Customer Name]]))</f>
        <v>Andrew Thompson</v>
      </c>
      <c r="C16" s="14" t="str">
        <f>Table1[[#This Row],[Gender]]</f>
        <v>Male</v>
      </c>
      <c r="D16" s="14">
        <f>Table1[[#This Row],[Age]]</f>
        <v>26</v>
      </c>
      <c r="E16" s="14" t="str">
        <f>Table1[[#This Row],[Location]]</f>
        <v>New York</v>
      </c>
      <c r="F16" s="14" t="str">
        <f>Table1[[#This Row],[Subscription]]</f>
        <v>Basic</v>
      </c>
      <c r="G16" s="15">
        <f>Table1[[#This Row],[Monthly Charges]]</f>
        <v>26.99</v>
      </c>
      <c r="H16" s="14">
        <f>Table1[[#This Row],[Tenure Months]]</f>
        <v>5</v>
      </c>
      <c r="I16" s="14" t="str">
        <f>Table1[[#This Row],[Contract Type]]</f>
        <v>Monthly</v>
      </c>
      <c r="J16" s="14" t="str">
        <f>Table1[[#This Row],[Payment Method]]</f>
        <v>Credit Card</v>
      </c>
      <c r="K16" s="14">
        <f>Table1[[#This Row],[Support Calls]]</f>
        <v>6</v>
      </c>
      <c r="L16" s="14" t="str">
        <f>Table1[[#This Row],[Churn]]</f>
        <v>Yes</v>
      </c>
      <c r="M16" s="14" t="str">
        <f>IF(Table2[[#This Row],[Churn]]="Yes","Churned","Active")</f>
        <v>Churned</v>
      </c>
      <c r="N16" s="14" t="str">
        <f>IF(Table2[[#This Row],[Tenure Months]]&lt;=6,"New",IF(Table2[[#This Row],[Tenure Months]]&lt;=24,"Established","Loyal"))</f>
        <v>New</v>
      </c>
    </row>
    <row r="17" spans="1:14" x14ac:dyDescent="0.35">
      <c r="A17" s="14" t="str">
        <f>Table1[[#This Row],[Customer ID]]</f>
        <v>C016</v>
      </c>
      <c r="B17" s="14" t="str">
        <f>PROPER(TRIM(Table1[[#This Row],[Customer Name]]))</f>
        <v>Samantha Garcia</v>
      </c>
      <c r="C17" s="14" t="str">
        <f>Table1[[#This Row],[Gender]]</f>
        <v>Female</v>
      </c>
      <c r="D17" s="14">
        <f>Table1[[#This Row],[Age]]</f>
        <v>34</v>
      </c>
      <c r="E17" s="14" t="str">
        <f>Table1[[#This Row],[Location]]</f>
        <v>California</v>
      </c>
      <c r="F17" s="14" t="str">
        <f>Table1[[#This Row],[Subscription]]</f>
        <v>Premium</v>
      </c>
      <c r="G17" s="15">
        <f>Table1[[#This Row],[Monthly Charges]]</f>
        <v>78.989999999999995</v>
      </c>
      <c r="H17" s="14">
        <f>Table1[[#This Row],[Tenure Months]]</f>
        <v>22</v>
      </c>
      <c r="I17" s="14" t="str">
        <f>Table1[[#This Row],[Contract Type]]</f>
        <v>One Year</v>
      </c>
      <c r="J17" s="14" t="str">
        <f>Table1[[#This Row],[Payment Method]]</f>
        <v>PayPal</v>
      </c>
      <c r="K17" s="14">
        <f>Table1[[#This Row],[Support Calls]]</f>
        <v>1</v>
      </c>
      <c r="L17" s="14" t="str">
        <f>Table1[[#This Row],[Churn]]</f>
        <v>No</v>
      </c>
      <c r="M17" s="14" t="str">
        <f>IF(Table2[[#This Row],[Churn]]="Yes","Churned","Active")</f>
        <v>Active</v>
      </c>
      <c r="N17" s="14" t="str">
        <f>IF(Table2[[#This Row],[Tenure Months]]&lt;=6,"New",IF(Table2[[#This Row],[Tenure Months]]&lt;=24,"Established","Loyal"))</f>
        <v>Established</v>
      </c>
    </row>
    <row r="18" spans="1:14" x14ac:dyDescent="0.35">
      <c r="A18" s="14" t="str">
        <f>Table1[[#This Row],[Customer ID]]</f>
        <v>C017</v>
      </c>
      <c r="B18" s="14" t="str">
        <f>PROPER(TRIM(Table1[[#This Row],[Customer Name]]))</f>
        <v>Ryan Martinez</v>
      </c>
      <c r="C18" s="14" t="str">
        <f>Table1[[#This Row],[Gender]]</f>
        <v>Male</v>
      </c>
      <c r="D18" s="14">
        <f>Table1[[#This Row],[Age]]</f>
        <v>49</v>
      </c>
      <c r="E18" s="14" t="str">
        <f>Table1[[#This Row],[Location]]</f>
        <v>Texas</v>
      </c>
      <c r="F18" s="14" t="str">
        <f>Table1[[#This Row],[Subscription]]</f>
        <v>Standard</v>
      </c>
      <c r="G18" s="15">
        <f>Table1[[#This Row],[Monthly Charges]]</f>
        <v>55.99</v>
      </c>
      <c r="H18" s="14">
        <f>Table1[[#This Row],[Tenure Months]]</f>
        <v>7</v>
      </c>
      <c r="I18" s="14" t="str">
        <f>Table1[[#This Row],[Contract Type]]</f>
        <v>Monthly</v>
      </c>
      <c r="J18" s="14" t="str">
        <f>Table1[[#This Row],[Payment Method]]</f>
        <v>Bank Transfer</v>
      </c>
      <c r="K18" s="14">
        <f>Table1[[#This Row],[Support Calls]]</f>
        <v>5</v>
      </c>
      <c r="L18" s="14" t="str">
        <f>Table1[[#This Row],[Churn]]</f>
        <v>Yes</v>
      </c>
      <c r="M18" s="14" t="str">
        <f>IF(Table2[[#This Row],[Churn]]="Yes","Churned","Active")</f>
        <v>Churned</v>
      </c>
      <c r="N18" s="14" t="str">
        <f>IF(Table2[[#This Row],[Tenure Months]]&lt;=6,"New",IF(Table2[[#This Row],[Tenure Months]]&lt;=24,"Established","Loyal"))</f>
        <v>Established</v>
      </c>
    </row>
    <row r="19" spans="1:14" x14ac:dyDescent="0.35">
      <c r="A19" s="14" t="str">
        <f>Table1[[#This Row],[Customer ID]]</f>
        <v>C018</v>
      </c>
      <c r="B19" s="14" t="str">
        <f>PROPER(TRIM(Table1[[#This Row],[Customer Name]]))</f>
        <v>Stephanie Robinson</v>
      </c>
      <c r="C19" s="14" t="str">
        <f>Table1[[#This Row],[Gender]]</f>
        <v>Female</v>
      </c>
      <c r="D19" s="14">
        <f>Table1[[#This Row],[Age]]</f>
        <v>30</v>
      </c>
      <c r="E19" s="14" t="str">
        <f>Table1[[#This Row],[Location]]</f>
        <v>Illinois</v>
      </c>
      <c r="F19" s="14" t="str">
        <f>Table1[[#This Row],[Subscription]]</f>
        <v>Basic</v>
      </c>
      <c r="G19" s="15">
        <f>Table1[[#This Row],[Monthly Charges]]</f>
        <v>28.99</v>
      </c>
      <c r="H19" s="14">
        <f>Table1[[#This Row],[Tenure Months]]</f>
        <v>19</v>
      </c>
      <c r="I19" s="14" t="str">
        <f>Table1[[#This Row],[Contract Type]]</f>
        <v>One Year</v>
      </c>
      <c r="J19" s="14" t="str">
        <f>Table1[[#This Row],[Payment Method]]</f>
        <v>Credit Card</v>
      </c>
      <c r="K19" s="14">
        <f>Table1[[#This Row],[Support Calls]]</f>
        <v>2</v>
      </c>
      <c r="L19" s="14" t="str">
        <f>Table1[[#This Row],[Churn]]</f>
        <v>No</v>
      </c>
      <c r="M19" s="14" t="str">
        <f>IF(Table2[[#This Row],[Churn]]="Yes","Churned","Active")</f>
        <v>Active</v>
      </c>
      <c r="N19" s="14" t="str">
        <f>IF(Table2[[#This Row],[Tenure Months]]&lt;=6,"New",IF(Table2[[#This Row],[Tenure Months]]&lt;=24,"Established","Loyal"))</f>
        <v>Established</v>
      </c>
    </row>
    <row r="20" spans="1:14" x14ac:dyDescent="0.35">
      <c r="A20" s="14" t="str">
        <f>Table1[[#This Row],[Customer ID]]</f>
        <v>C019</v>
      </c>
      <c r="B20" s="14" t="str">
        <f>PROPER(TRIM(Table1[[#This Row],[Customer Name]]))</f>
        <v>Kevin Clark</v>
      </c>
      <c r="C20" s="14" t="str">
        <f>Table1[[#This Row],[Gender]]</f>
        <v>Male</v>
      </c>
      <c r="D20" s="14">
        <f>Table1[[#This Row],[Age]]</f>
        <v>44</v>
      </c>
      <c r="E20" s="14" t="str">
        <f>Table1[[#This Row],[Location]]</f>
        <v>Florida</v>
      </c>
      <c r="F20" s="14" t="str">
        <f>Table1[[#This Row],[Subscription]]</f>
        <v>Premium</v>
      </c>
      <c r="G20" s="15">
        <f>Table1[[#This Row],[Monthly Charges]]</f>
        <v>86.99</v>
      </c>
      <c r="H20" s="14">
        <f>Table1[[#This Row],[Tenure Months]]</f>
        <v>38</v>
      </c>
      <c r="I20" s="14" t="str">
        <f>Table1[[#This Row],[Contract Type]]</f>
        <v>Two Year</v>
      </c>
      <c r="J20" s="14" t="str">
        <f>Table1[[#This Row],[Payment Method]]</f>
        <v>Credit Card</v>
      </c>
      <c r="K20" s="14">
        <f>Table1[[#This Row],[Support Calls]]</f>
        <v>1</v>
      </c>
      <c r="L20" s="14" t="str">
        <f>Table1[[#This Row],[Churn]]</f>
        <v>No</v>
      </c>
      <c r="M20" s="14" t="str">
        <f>IF(Table2[[#This Row],[Churn]]="Yes","Churned","Active")</f>
        <v>Active</v>
      </c>
      <c r="N20" s="14" t="str">
        <f>IF(Table2[[#This Row],[Tenure Months]]&lt;=6,"New",IF(Table2[[#This Row],[Tenure Months]]&lt;=24,"Established","Loyal"))</f>
        <v>Loyal</v>
      </c>
    </row>
    <row r="21" spans="1:14" x14ac:dyDescent="0.35">
      <c r="A21" s="14" t="str">
        <f>Table1[[#This Row],[Customer ID]]</f>
        <v>C020</v>
      </c>
      <c r="B21" s="14" t="str">
        <f>PROPER(TRIM(Table1[[#This Row],[Customer Name]]))</f>
        <v>Nicole Rodriguez</v>
      </c>
      <c r="C21" s="14" t="str">
        <f>Table1[[#This Row],[Gender]]</f>
        <v>Female</v>
      </c>
      <c r="D21" s="14">
        <f>Table1[[#This Row],[Age]]</f>
        <v>25</v>
      </c>
      <c r="E21" s="14" t="str">
        <f>Table1[[#This Row],[Location]]</f>
        <v>New York</v>
      </c>
      <c r="F21" s="14" t="str">
        <f>Table1[[#This Row],[Subscription]]</f>
        <v>Standard</v>
      </c>
      <c r="G21" s="15">
        <f>Table1[[#This Row],[Monthly Charges]]</f>
        <v>45.99</v>
      </c>
      <c r="H21" s="14">
        <f>Table1[[#This Row],[Tenure Months]]</f>
        <v>2</v>
      </c>
      <c r="I21" s="14" t="str">
        <f>Table1[[#This Row],[Contract Type]]</f>
        <v>Monthly</v>
      </c>
      <c r="J21" s="14" t="str">
        <f>Table1[[#This Row],[Payment Method]]</f>
        <v>PayPal</v>
      </c>
      <c r="K21" s="14">
        <f>Table1[[#This Row],[Support Calls]]</f>
        <v>8</v>
      </c>
      <c r="L21" s="14" t="str">
        <f>Table1[[#This Row],[Churn]]</f>
        <v>Yes</v>
      </c>
      <c r="M21" s="14" t="str">
        <f>IF(Table2[[#This Row],[Churn]]="Yes","Churned","Active")</f>
        <v>Churned</v>
      </c>
      <c r="N21" s="14" t="str">
        <f>IF(Table2[[#This Row],[Tenure Months]]&lt;=6,"New",IF(Table2[[#This Row],[Tenure Months]]&lt;=24,"Established","Loyal"))</f>
        <v>New</v>
      </c>
    </row>
    <row r="22" spans="1:14" x14ac:dyDescent="0.35">
      <c r="A22" s="14" t="str">
        <f>Table1[[#This Row],[Customer ID]]</f>
        <v>C021</v>
      </c>
      <c r="B22" s="14" t="str">
        <f>PROPER(TRIM(Table1[[#This Row],[Customer Name]]))</f>
        <v>Brian Lewis</v>
      </c>
      <c r="C22" s="14" t="str">
        <f>Table1[[#This Row],[Gender]]</f>
        <v>Male</v>
      </c>
      <c r="D22" s="14">
        <f>Table1[[#This Row],[Age]]</f>
        <v>53</v>
      </c>
      <c r="E22" s="14" t="str">
        <f>Table1[[#This Row],[Location]]</f>
        <v>California</v>
      </c>
      <c r="F22" s="14" t="str">
        <f>Table1[[#This Row],[Subscription]]</f>
        <v>Premium</v>
      </c>
      <c r="G22" s="15">
        <f>Table1[[#This Row],[Monthly Charges]]</f>
        <v>91.99</v>
      </c>
      <c r="H22" s="14">
        <f>Table1[[#This Row],[Tenure Months]]</f>
        <v>48</v>
      </c>
      <c r="I22" s="14" t="str">
        <f>Table1[[#This Row],[Contract Type]]</f>
        <v>Two Year</v>
      </c>
      <c r="J22" s="14" t="str">
        <f>Table1[[#This Row],[Payment Method]]</f>
        <v>Bank Transfer</v>
      </c>
      <c r="K22" s="14">
        <f>Table1[[#This Row],[Support Calls]]</f>
        <v>0</v>
      </c>
      <c r="L22" s="14" t="str">
        <f>Table1[[#This Row],[Churn]]</f>
        <v>No</v>
      </c>
      <c r="M22" s="14" t="str">
        <f>IF(Table2[[#This Row],[Churn]]="Yes","Churned","Active")</f>
        <v>Active</v>
      </c>
      <c r="N22" s="14" t="str">
        <f>IF(Table2[[#This Row],[Tenure Months]]&lt;=6,"New",IF(Table2[[#This Row],[Tenure Months]]&lt;=24,"Established","Loyal"))</f>
        <v>Loyal</v>
      </c>
    </row>
    <row r="23" spans="1:14" x14ac:dyDescent="0.35">
      <c r="A23" s="14" t="str">
        <f>Table1[[#This Row],[Customer ID]]</f>
        <v>C022</v>
      </c>
      <c r="B23" s="14" t="str">
        <f>PROPER(TRIM(Table1[[#This Row],[Customer Name]]))</f>
        <v>Rachel Lee</v>
      </c>
      <c r="C23" s="14" t="str">
        <f>Table1[[#This Row],[Gender]]</f>
        <v>Female</v>
      </c>
      <c r="D23" s="14">
        <f>Table1[[#This Row],[Age]]</f>
        <v>38</v>
      </c>
      <c r="E23" s="14" t="str">
        <f>Table1[[#This Row],[Location]]</f>
        <v>Texas</v>
      </c>
      <c r="F23" s="14" t="str">
        <f>Table1[[#This Row],[Subscription]]</f>
        <v>Basic</v>
      </c>
      <c r="G23" s="15">
        <f>Table1[[#This Row],[Monthly Charges]]</f>
        <v>30.99</v>
      </c>
      <c r="H23" s="14">
        <f>Table1[[#This Row],[Tenure Months]]</f>
        <v>11</v>
      </c>
      <c r="I23" s="14" t="str">
        <f>Table1[[#This Row],[Contract Type]]</f>
        <v>One Year</v>
      </c>
      <c r="J23" s="14" t="str">
        <f>Table1[[#This Row],[Payment Method]]</f>
        <v>Credit Card</v>
      </c>
      <c r="K23" s="14">
        <f>Table1[[#This Row],[Support Calls]]</f>
        <v>3</v>
      </c>
      <c r="L23" s="14" t="str">
        <f>Table1[[#This Row],[Churn]]</f>
        <v>No</v>
      </c>
      <c r="M23" s="14" t="str">
        <f>IF(Table2[[#This Row],[Churn]]="Yes","Churned","Active")</f>
        <v>Active</v>
      </c>
      <c r="N23" s="14" t="str">
        <f>IF(Table2[[#This Row],[Tenure Months]]&lt;=6,"New",IF(Table2[[#This Row],[Tenure Months]]&lt;=24,"Established","Loyal"))</f>
        <v>Established</v>
      </c>
    </row>
    <row r="24" spans="1:14" x14ac:dyDescent="0.35">
      <c r="A24" s="14" t="str">
        <f>Table1[[#This Row],[Customer ID]]</f>
        <v>C023</v>
      </c>
      <c r="B24" s="14" t="str">
        <f>PROPER(TRIM(Table1[[#This Row],[Customer Name]]))</f>
        <v>Jason Walker</v>
      </c>
      <c r="C24" s="14" t="str">
        <f>Table1[[#This Row],[Gender]]</f>
        <v>Male</v>
      </c>
      <c r="D24" s="14">
        <f>Table1[[#This Row],[Age]]</f>
        <v>32</v>
      </c>
      <c r="E24" s="14" t="str">
        <f>Table1[[#This Row],[Location]]</f>
        <v>Illinois</v>
      </c>
      <c r="F24" s="14" t="str">
        <f>Table1[[#This Row],[Subscription]]</f>
        <v>Standard</v>
      </c>
      <c r="G24" s="15">
        <f>Table1[[#This Row],[Monthly Charges]]</f>
        <v>50.99</v>
      </c>
      <c r="H24" s="14">
        <f>Table1[[#This Row],[Tenure Months]]</f>
        <v>9</v>
      </c>
      <c r="I24" s="14" t="str">
        <f>Table1[[#This Row],[Contract Type]]</f>
        <v>Monthly</v>
      </c>
      <c r="J24" s="14" t="str">
        <f>Table1[[#This Row],[Payment Method]]</f>
        <v>PayPal</v>
      </c>
      <c r="K24" s="14">
        <f>Table1[[#This Row],[Support Calls]]</f>
        <v>4</v>
      </c>
      <c r="L24" s="14" t="str">
        <f>Table1[[#This Row],[Churn]]</f>
        <v>Yes</v>
      </c>
      <c r="M24" s="14" t="str">
        <f>IF(Table2[[#This Row],[Churn]]="Yes","Churned","Active")</f>
        <v>Churned</v>
      </c>
      <c r="N24" s="14" t="str">
        <f>IF(Table2[[#This Row],[Tenure Months]]&lt;=6,"New",IF(Table2[[#This Row],[Tenure Months]]&lt;=24,"Established","Loyal"))</f>
        <v>Established</v>
      </c>
    </row>
    <row r="25" spans="1:14" x14ac:dyDescent="0.35">
      <c r="A25" s="14" t="str">
        <f>Table1[[#This Row],[Customer ID]]</f>
        <v>C024</v>
      </c>
      <c r="B25" s="14" t="str">
        <f>PROPER(TRIM(Table1[[#This Row],[Customer Name]]))</f>
        <v>Lauren Hall</v>
      </c>
      <c r="C25" s="14" t="str">
        <f>Table1[[#This Row],[Gender]]</f>
        <v>Female</v>
      </c>
      <c r="D25" s="14">
        <f>Table1[[#This Row],[Age]]</f>
        <v>47</v>
      </c>
      <c r="E25" s="14" t="str">
        <f>Table1[[#This Row],[Location]]</f>
        <v>Florida</v>
      </c>
      <c r="F25" s="14" t="str">
        <f>Table1[[#This Row],[Subscription]]</f>
        <v>Premium</v>
      </c>
      <c r="G25" s="15">
        <f>Table1[[#This Row],[Monthly Charges]]</f>
        <v>80.989999999999995</v>
      </c>
      <c r="H25" s="14">
        <f>Table1[[#This Row],[Tenure Months]]</f>
        <v>26</v>
      </c>
      <c r="I25" s="14" t="str">
        <f>Table1[[#This Row],[Contract Type]]</f>
        <v>One Year</v>
      </c>
      <c r="J25" s="14" t="str">
        <f>Table1[[#This Row],[Payment Method]]</f>
        <v>Credit Card</v>
      </c>
      <c r="K25" s="14">
        <f>Table1[[#This Row],[Support Calls]]</f>
        <v>2</v>
      </c>
      <c r="L25" s="14" t="str">
        <f>Table1[[#This Row],[Churn]]</f>
        <v>No</v>
      </c>
      <c r="M25" s="14" t="str">
        <f>IF(Table2[[#This Row],[Churn]]="Yes","Churned","Active")</f>
        <v>Active</v>
      </c>
      <c r="N25" s="14" t="str">
        <f>IF(Table2[[#This Row],[Tenure Months]]&lt;=6,"New",IF(Table2[[#This Row],[Tenure Months]]&lt;=24,"Established","Loyal"))</f>
        <v>Loyal</v>
      </c>
    </row>
    <row r="26" spans="1:14" x14ac:dyDescent="0.35">
      <c r="A26" s="14" t="str">
        <f>Table1[[#This Row],[Customer ID]]</f>
        <v>C025</v>
      </c>
      <c r="B26" s="14" t="str">
        <f>PROPER(TRIM(Table1[[#This Row],[Customer Name]]))</f>
        <v>Justin Allen</v>
      </c>
      <c r="C26" s="14" t="str">
        <f>Table1[[#This Row],[Gender]]</f>
        <v>Male</v>
      </c>
      <c r="D26" s="14">
        <f>Table1[[#This Row],[Age]]</f>
        <v>23</v>
      </c>
      <c r="E26" s="14" t="str">
        <f>Table1[[#This Row],[Location]]</f>
        <v>New York</v>
      </c>
      <c r="F26" s="14" t="str">
        <f>Table1[[#This Row],[Subscription]]</f>
        <v>Basic</v>
      </c>
      <c r="G26" s="15">
        <f>Table1[[#This Row],[Monthly Charges]]</f>
        <v>25.99</v>
      </c>
      <c r="H26" s="14">
        <f>Table1[[#This Row],[Tenure Months]]</f>
        <v>1</v>
      </c>
      <c r="I26" s="14" t="str">
        <f>Table1[[#This Row],[Contract Type]]</f>
        <v>Monthly</v>
      </c>
      <c r="J26" s="14" t="str">
        <f>Table1[[#This Row],[Payment Method]]</f>
        <v>Bank Transfer</v>
      </c>
      <c r="K26" s="14">
        <f>Table1[[#This Row],[Support Calls]]</f>
        <v>7</v>
      </c>
      <c r="L26" s="14" t="str">
        <f>Table1[[#This Row],[Churn]]</f>
        <v>Yes</v>
      </c>
      <c r="M26" s="14" t="str">
        <f>IF(Table2[[#This Row],[Churn]]="Yes","Churned","Active")</f>
        <v>Churned</v>
      </c>
      <c r="N26" s="14" t="str">
        <f>IF(Table2[[#This Row],[Tenure Months]]&lt;=6,"New",IF(Table2[[#This Row],[Tenure Months]]&lt;=24,"Established","Loyal"))</f>
        <v>New</v>
      </c>
    </row>
    <row r="27" spans="1:14" x14ac:dyDescent="0.35">
      <c r="A27" s="14" t="str">
        <f>Table1[[#This Row],[Customer ID]]</f>
        <v>C026</v>
      </c>
      <c r="B27" s="14" t="str">
        <f>PROPER(TRIM(Table1[[#This Row],[Customer Name]]))</f>
        <v>Megan Young</v>
      </c>
      <c r="C27" s="14" t="str">
        <f>Table1[[#This Row],[Gender]]</f>
        <v>Female</v>
      </c>
      <c r="D27" s="14">
        <f>Table1[[#This Row],[Age]]</f>
        <v>36</v>
      </c>
      <c r="E27" s="14" t="str">
        <f>Table1[[#This Row],[Location]]</f>
        <v>California</v>
      </c>
      <c r="F27" s="14" t="str">
        <f>Table1[[#This Row],[Subscription]]</f>
        <v>Standard</v>
      </c>
      <c r="G27" s="15">
        <f>Table1[[#This Row],[Monthly Charges]]</f>
        <v>53.99</v>
      </c>
      <c r="H27" s="14">
        <f>Table1[[#This Row],[Tenure Months]]</f>
        <v>17</v>
      </c>
      <c r="I27" s="14" t="str">
        <f>Table1[[#This Row],[Contract Type]]</f>
        <v>One Year</v>
      </c>
      <c r="J27" s="14" t="str">
        <f>Table1[[#This Row],[Payment Method]]</f>
        <v>Credit Card</v>
      </c>
      <c r="K27" s="14">
        <f>Table1[[#This Row],[Support Calls]]</f>
        <v>1</v>
      </c>
      <c r="L27" s="14" t="str">
        <f>Table1[[#This Row],[Churn]]</f>
        <v>No</v>
      </c>
      <c r="M27" s="14" t="str">
        <f>IF(Table2[[#This Row],[Churn]]="Yes","Churned","Active")</f>
        <v>Active</v>
      </c>
      <c r="N27" s="14" t="str">
        <f>IF(Table2[[#This Row],[Tenure Months]]&lt;=6,"New",IF(Table2[[#This Row],[Tenure Months]]&lt;=24,"Established","Loyal"))</f>
        <v>Established</v>
      </c>
    </row>
    <row r="28" spans="1:14" x14ac:dyDescent="0.35">
      <c r="A28" s="14" t="str">
        <f>Table1[[#This Row],[Customer ID]]</f>
        <v>C027</v>
      </c>
      <c r="B28" s="14" t="str">
        <f>PROPER(TRIM(Table1[[#This Row],[Customer Name]]))</f>
        <v>Brandon Hernandez</v>
      </c>
      <c r="C28" s="14" t="str">
        <f>Table1[[#This Row],[Gender]]</f>
        <v>Male</v>
      </c>
      <c r="D28" s="14">
        <f>Table1[[#This Row],[Age]]</f>
        <v>40</v>
      </c>
      <c r="E28" s="14" t="str">
        <f>Table1[[#This Row],[Location]]</f>
        <v>Texas</v>
      </c>
      <c r="F28" s="14" t="str">
        <f>Table1[[#This Row],[Subscription]]</f>
        <v>Premium</v>
      </c>
      <c r="G28" s="15">
        <f>Table1[[#This Row],[Monthly Charges]]</f>
        <v>83.99</v>
      </c>
      <c r="H28" s="14">
        <f>Table1[[#This Row],[Tenure Months]]</f>
        <v>33</v>
      </c>
      <c r="I28" s="14" t="str">
        <f>Table1[[#This Row],[Contract Type]]</f>
        <v>Two Year</v>
      </c>
      <c r="J28" s="14" t="str">
        <f>Table1[[#This Row],[Payment Method]]</f>
        <v>PayPal</v>
      </c>
      <c r="K28" s="14">
        <f>Table1[[#This Row],[Support Calls]]</f>
        <v>2</v>
      </c>
      <c r="L28" s="14" t="str">
        <f>Table1[[#This Row],[Churn]]</f>
        <v>No</v>
      </c>
      <c r="M28" s="14" t="str">
        <f>IF(Table2[[#This Row],[Churn]]="Yes","Churned","Active")</f>
        <v>Active</v>
      </c>
      <c r="N28" s="14" t="str">
        <f>IF(Table2[[#This Row],[Tenure Months]]&lt;=6,"New",IF(Table2[[#This Row],[Tenure Months]]&lt;=24,"Established","Loyal"))</f>
        <v>Loyal</v>
      </c>
    </row>
    <row r="29" spans="1:14" x14ac:dyDescent="0.35">
      <c r="A29" s="14" t="str">
        <f>Table1[[#This Row],[Customer ID]]</f>
        <v>C028</v>
      </c>
      <c r="B29" s="14" t="str">
        <f>PROPER(TRIM(Table1[[#This Row],[Customer Name]]))</f>
        <v>Olivia King</v>
      </c>
      <c r="C29" s="14" t="str">
        <f>Table1[[#This Row],[Gender]]</f>
        <v>Female</v>
      </c>
      <c r="D29" s="14">
        <f>Table1[[#This Row],[Age]]</f>
        <v>29</v>
      </c>
      <c r="E29" s="14" t="str">
        <f>Table1[[#This Row],[Location]]</f>
        <v>Illinois</v>
      </c>
      <c r="F29" s="14" t="str">
        <f>Table1[[#This Row],[Subscription]]</f>
        <v>Basic</v>
      </c>
      <c r="G29" s="15">
        <f>Table1[[#This Row],[Monthly Charges]]</f>
        <v>29.49</v>
      </c>
      <c r="H29" s="14">
        <f>Table1[[#This Row],[Tenure Months]]</f>
        <v>6</v>
      </c>
      <c r="I29" s="14" t="str">
        <f>Table1[[#This Row],[Contract Type]]</f>
        <v>Monthly</v>
      </c>
      <c r="J29" s="14" t="str">
        <f>Table1[[#This Row],[Payment Method]]</f>
        <v>Credit Card</v>
      </c>
      <c r="K29" s="14">
        <f>Table1[[#This Row],[Support Calls]]</f>
        <v>5</v>
      </c>
      <c r="L29" s="14" t="str">
        <f>Table1[[#This Row],[Churn]]</f>
        <v>Yes</v>
      </c>
      <c r="M29" s="14" t="str">
        <f>IF(Table2[[#This Row],[Churn]]="Yes","Churned","Active")</f>
        <v>Churned</v>
      </c>
      <c r="N29" s="14" t="str">
        <f>IF(Table2[[#This Row],[Tenure Months]]&lt;=6,"New",IF(Table2[[#This Row],[Tenure Months]]&lt;=24,"Established","Loyal"))</f>
        <v>New</v>
      </c>
    </row>
    <row r="30" spans="1:14" x14ac:dyDescent="0.35">
      <c r="A30" s="14" t="str">
        <f>Table1[[#This Row],[Customer ID]]</f>
        <v>C029</v>
      </c>
      <c r="B30" s="14" t="str">
        <f>PROPER(TRIM(Table1[[#This Row],[Customer Name]]))</f>
        <v>Tyler Wright</v>
      </c>
      <c r="C30" s="14" t="str">
        <f>Table1[[#This Row],[Gender]]</f>
        <v>Male</v>
      </c>
      <c r="D30" s="14">
        <f>Table1[[#This Row],[Age]]</f>
        <v>43</v>
      </c>
      <c r="E30" s="14" t="str">
        <f>Table1[[#This Row],[Location]]</f>
        <v>Florida</v>
      </c>
      <c r="F30" s="14" t="str">
        <f>Table1[[#This Row],[Subscription]]</f>
        <v>Standard</v>
      </c>
      <c r="G30" s="15">
        <f>Table1[[#This Row],[Monthly Charges]]</f>
        <v>48.99</v>
      </c>
      <c r="H30" s="14">
        <f>Table1[[#This Row],[Tenure Months]]</f>
        <v>21</v>
      </c>
      <c r="I30" s="14" t="str">
        <f>Table1[[#This Row],[Contract Type]]</f>
        <v>One Year</v>
      </c>
      <c r="J30" s="14" t="str">
        <f>Table1[[#This Row],[Payment Method]]</f>
        <v>Bank Transfer</v>
      </c>
      <c r="K30" s="14">
        <f>Table1[[#This Row],[Support Calls]]</f>
        <v>2</v>
      </c>
      <c r="L30" s="14" t="str">
        <f>Table1[[#This Row],[Churn]]</f>
        <v>No</v>
      </c>
      <c r="M30" s="14" t="str">
        <f>IF(Table2[[#This Row],[Churn]]="Yes","Churned","Active")</f>
        <v>Active</v>
      </c>
      <c r="N30" s="14" t="str">
        <f>IF(Table2[[#This Row],[Tenure Months]]&lt;=6,"New",IF(Table2[[#This Row],[Tenure Months]]&lt;=24,"Established","Loyal"))</f>
        <v>Established</v>
      </c>
    </row>
    <row r="31" spans="1:14" x14ac:dyDescent="0.35">
      <c r="A31" s="14" t="str">
        <f>Table1[[#This Row],[Customer ID]]</f>
        <v>C030</v>
      </c>
      <c r="B31" s="14" t="str">
        <f>PROPER(TRIM(Table1[[#This Row],[Customer Name]]))</f>
        <v>Hannah Lopez</v>
      </c>
      <c r="C31" s="14" t="str">
        <f>Table1[[#This Row],[Gender]]</f>
        <v>Female</v>
      </c>
      <c r="D31" s="14">
        <f>Table1[[#This Row],[Age]]</f>
        <v>31</v>
      </c>
      <c r="E31" s="14" t="str">
        <f>Table1[[#This Row],[Location]]</f>
        <v>New York</v>
      </c>
      <c r="F31" s="14" t="str">
        <f>Table1[[#This Row],[Subscription]]</f>
        <v>Premium</v>
      </c>
      <c r="G31" s="15">
        <f>Table1[[#This Row],[Monthly Charges]]</f>
        <v>76.989999999999995</v>
      </c>
      <c r="H31" s="14">
        <f>Table1[[#This Row],[Tenure Months]]</f>
        <v>13</v>
      </c>
      <c r="I31" s="14" t="str">
        <f>Table1[[#This Row],[Contract Type]]</f>
        <v>Monthly</v>
      </c>
      <c r="J31" s="14" t="str">
        <f>Table1[[#This Row],[Payment Method]]</f>
        <v>PayPal</v>
      </c>
      <c r="K31" s="14">
        <f>Table1[[#This Row],[Support Calls]]</f>
        <v>4</v>
      </c>
      <c r="L31" s="14" t="str">
        <f>Table1[[#This Row],[Churn]]</f>
        <v>Yes</v>
      </c>
      <c r="M31" s="14" t="str">
        <f>IF(Table2[[#This Row],[Churn]]="Yes","Churned","Active")</f>
        <v>Churned</v>
      </c>
      <c r="N31" s="14" t="str">
        <f>IF(Table2[[#This Row],[Tenure Months]]&lt;=6,"New",IF(Table2[[#This Row],[Tenure Months]]&lt;=24,"Established","Loyal"))</f>
        <v>Established</v>
      </c>
    </row>
    <row r="32" spans="1:14" x14ac:dyDescent="0.35">
      <c r="A32" s="14" t="str">
        <f>Table1[[#This Row],[Customer ID]]</f>
        <v>C031</v>
      </c>
      <c r="B32" s="14" t="str">
        <f>PROPER(TRIM(Table1[[#This Row],[Customer Name]]))</f>
        <v>Eric Hill</v>
      </c>
      <c r="C32" s="14" t="str">
        <f>Table1[[#This Row],[Gender]]</f>
        <v>Male</v>
      </c>
      <c r="D32" s="14">
        <f>Table1[[#This Row],[Age]]</f>
        <v>50</v>
      </c>
      <c r="E32" s="14" t="str">
        <f>Table1[[#This Row],[Location]]</f>
        <v>California</v>
      </c>
      <c r="F32" s="14" t="str">
        <f>Table1[[#This Row],[Subscription]]</f>
        <v>Basic</v>
      </c>
      <c r="G32" s="15">
        <f>Table1[[#This Row],[Monthly Charges]]</f>
        <v>32.99</v>
      </c>
      <c r="H32" s="14">
        <f>Table1[[#This Row],[Tenure Months]]</f>
        <v>30</v>
      </c>
      <c r="I32" s="14" t="str">
        <f>Table1[[#This Row],[Contract Type]]</f>
        <v>Two Year</v>
      </c>
      <c r="J32" s="14" t="str">
        <f>Table1[[#This Row],[Payment Method]]</f>
        <v>Credit Card</v>
      </c>
      <c r="K32" s="14">
        <f>Table1[[#This Row],[Support Calls]]</f>
        <v>1</v>
      </c>
      <c r="L32" s="14" t="str">
        <f>Table1[[#This Row],[Churn]]</f>
        <v>No</v>
      </c>
      <c r="M32" s="14" t="str">
        <f>IF(Table2[[#This Row],[Churn]]="Yes","Churned","Active")</f>
        <v>Active</v>
      </c>
      <c r="N32" s="14" t="str">
        <f>IF(Table2[[#This Row],[Tenure Months]]&lt;=6,"New",IF(Table2[[#This Row],[Tenure Months]]&lt;=24,"Established","Loyal"))</f>
        <v>Loyal</v>
      </c>
    </row>
    <row r="33" spans="1:14" x14ac:dyDescent="0.35">
      <c r="A33" s="14" t="str">
        <f>Table1[[#This Row],[Customer ID]]</f>
        <v>C032</v>
      </c>
      <c r="B33" s="14" t="str">
        <f>PROPER(TRIM(Table1[[#This Row],[Customer Name]]))</f>
        <v>Grace Scott</v>
      </c>
      <c r="C33" s="14" t="str">
        <f>Table1[[#This Row],[Gender]]</f>
        <v>Female</v>
      </c>
      <c r="D33" s="14">
        <f>Table1[[#This Row],[Age]]</f>
        <v>27</v>
      </c>
      <c r="E33" s="14" t="str">
        <f>Table1[[#This Row],[Location]]</f>
        <v>Texas</v>
      </c>
      <c r="F33" s="14" t="str">
        <f>Table1[[#This Row],[Subscription]]</f>
        <v>Standard</v>
      </c>
      <c r="G33" s="15">
        <f>Table1[[#This Row],[Monthly Charges]]</f>
        <v>46.99</v>
      </c>
      <c r="H33" s="14">
        <f>Table1[[#This Row],[Tenure Months]]</f>
        <v>5</v>
      </c>
      <c r="I33" s="14" t="str">
        <f>Table1[[#This Row],[Contract Type]]</f>
        <v>Monthly</v>
      </c>
      <c r="J33" s="14" t="str">
        <f>Table1[[#This Row],[Payment Method]]</f>
        <v>Bank Transfer</v>
      </c>
      <c r="K33" s="14">
        <f>Table1[[#This Row],[Support Calls]]</f>
        <v>6</v>
      </c>
      <c r="L33" s="14" t="str">
        <f>Table1[[#This Row],[Churn]]</f>
        <v>Yes</v>
      </c>
      <c r="M33" s="14" t="str">
        <f>IF(Table2[[#This Row],[Churn]]="Yes","Churned","Active")</f>
        <v>Churned</v>
      </c>
      <c r="N33" s="14" t="str">
        <f>IF(Table2[[#This Row],[Tenure Months]]&lt;=6,"New",IF(Table2[[#This Row],[Tenure Months]]&lt;=24,"Established","Loyal"))</f>
        <v>New</v>
      </c>
    </row>
    <row r="34" spans="1:14" x14ac:dyDescent="0.35">
      <c r="A34" s="14" t="str">
        <f>Table1[[#This Row],[Customer ID]]</f>
        <v>C033</v>
      </c>
      <c r="B34" s="14" t="str">
        <f>PROPER(TRIM(Table1[[#This Row],[Customer Name]]))</f>
        <v>Steven Green</v>
      </c>
      <c r="C34" s="14" t="str">
        <f>Table1[[#This Row],[Gender]]</f>
        <v>Male</v>
      </c>
      <c r="D34" s="14">
        <f>Table1[[#This Row],[Age]]</f>
        <v>39</v>
      </c>
      <c r="E34" s="14" t="str">
        <f>Table1[[#This Row],[Location]]</f>
        <v>Illinois</v>
      </c>
      <c r="F34" s="14" t="str">
        <f>Table1[[#This Row],[Subscription]]</f>
        <v>Premium</v>
      </c>
      <c r="G34" s="15">
        <f>Table1[[#This Row],[Monthly Charges]]</f>
        <v>88.99</v>
      </c>
      <c r="H34" s="14">
        <f>Table1[[#This Row],[Tenure Months]]</f>
        <v>27</v>
      </c>
      <c r="I34" s="14" t="str">
        <f>Table1[[#This Row],[Contract Type]]</f>
        <v>One Year</v>
      </c>
      <c r="J34" s="14" t="str">
        <f>Table1[[#This Row],[Payment Method]]</f>
        <v>Credit Card</v>
      </c>
      <c r="K34" s="14">
        <f>Table1[[#This Row],[Support Calls]]</f>
        <v>1</v>
      </c>
      <c r="L34" s="14" t="str">
        <f>Table1[[#This Row],[Churn]]</f>
        <v>No</v>
      </c>
      <c r="M34" s="14" t="str">
        <f>IF(Table2[[#This Row],[Churn]]="Yes","Churned","Active")</f>
        <v>Active</v>
      </c>
      <c r="N34" s="14" t="str">
        <f>IF(Table2[[#This Row],[Tenure Months]]&lt;=6,"New",IF(Table2[[#This Row],[Tenure Months]]&lt;=24,"Established","Loyal"))</f>
        <v>Loyal</v>
      </c>
    </row>
    <row r="35" spans="1:14" x14ac:dyDescent="0.35">
      <c r="A35" s="14" t="str">
        <f>Table1[[#This Row],[Customer ID]]</f>
        <v>C034</v>
      </c>
      <c r="B35" s="14" t="str">
        <f>PROPER(TRIM(Table1[[#This Row],[Customer Name]]))</f>
        <v>Chloe Adams</v>
      </c>
      <c r="C35" s="14" t="str">
        <f>Table1[[#This Row],[Gender]]</f>
        <v>Female</v>
      </c>
      <c r="D35" s="14">
        <f>Table1[[#This Row],[Age]]</f>
        <v>45</v>
      </c>
      <c r="E35" s="14" t="str">
        <f>Table1[[#This Row],[Location]]</f>
        <v>Florida</v>
      </c>
      <c r="F35" s="14" t="str">
        <f>Table1[[#This Row],[Subscription]]</f>
        <v>Basic</v>
      </c>
      <c r="G35" s="15">
        <f>Table1[[#This Row],[Monthly Charges]]</f>
        <v>27.49</v>
      </c>
      <c r="H35" s="14">
        <f>Table1[[#This Row],[Tenure Months]]</f>
        <v>16</v>
      </c>
      <c r="I35" s="14" t="str">
        <f>Table1[[#This Row],[Contract Type]]</f>
        <v>One Year</v>
      </c>
      <c r="J35" s="14" t="str">
        <f>Table1[[#This Row],[Payment Method]]</f>
        <v>PayPal</v>
      </c>
      <c r="K35" s="14">
        <f>Table1[[#This Row],[Support Calls]]</f>
        <v>3</v>
      </c>
      <c r="L35" s="14" t="str">
        <f>Table1[[#This Row],[Churn]]</f>
        <v>No</v>
      </c>
      <c r="M35" s="14" t="str">
        <f>IF(Table2[[#This Row],[Churn]]="Yes","Churned","Active")</f>
        <v>Active</v>
      </c>
      <c r="N35" s="14" t="str">
        <f>IF(Table2[[#This Row],[Tenure Months]]&lt;=6,"New",IF(Table2[[#This Row],[Tenure Months]]&lt;=24,"Established","Loyal"))</f>
        <v>Established</v>
      </c>
    </row>
    <row r="36" spans="1:14" x14ac:dyDescent="0.35">
      <c r="A36" s="14" t="str">
        <f>Table1[[#This Row],[Customer ID]]</f>
        <v>C035</v>
      </c>
      <c r="B36" s="14" t="str">
        <f>PROPER(TRIM(Table1[[#This Row],[Customer Name]]))</f>
        <v>Nathan Baker</v>
      </c>
      <c r="C36" s="14" t="str">
        <f>Table1[[#This Row],[Gender]]</f>
        <v>Male</v>
      </c>
      <c r="D36" s="14">
        <f>Table1[[#This Row],[Age]]</f>
        <v>28</v>
      </c>
      <c r="E36" s="14" t="str">
        <f>Table1[[#This Row],[Location]]</f>
        <v>New York</v>
      </c>
      <c r="F36" s="14" t="str">
        <f>Table1[[#This Row],[Subscription]]</f>
        <v>Standard</v>
      </c>
      <c r="G36" s="15">
        <f>Table1[[#This Row],[Monthly Charges]]</f>
        <v>51.49</v>
      </c>
      <c r="H36" s="14">
        <f>Table1[[#This Row],[Tenure Months]]</f>
        <v>4</v>
      </c>
      <c r="I36" s="14" t="str">
        <f>Table1[[#This Row],[Contract Type]]</f>
        <v>Monthly</v>
      </c>
      <c r="J36" s="14" t="str">
        <f>Table1[[#This Row],[Payment Method]]</f>
        <v>Credit Card</v>
      </c>
      <c r="K36" s="14">
        <f>Table1[[#This Row],[Support Calls]]</f>
        <v>7</v>
      </c>
      <c r="L36" s="14" t="str">
        <f>Table1[[#This Row],[Churn]]</f>
        <v>Yes</v>
      </c>
      <c r="M36" s="14" t="str">
        <f>IF(Table2[[#This Row],[Churn]]="Yes","Churned","Active")</f>
        <v>Churned</v>
      </c>
      <c r="N36" s="14" t="str">
        <f>IF(Table2[[#This Row],[Tenure Months]]&lt;=6,"New",IF(Table2[[#This Row],[Tenure Months]]&lt;=24,"Established","Loyal"))</f>
        <v>New</v>
      </c>
    </row>
    <row r="37" spans="1:14" x14ac:dyDescent="0.35">
      <c r="A37" s="14" t="str">
        <f>Table1[[#This Row],[Customer ID]]</f>
        <v>C036</v>
      </c>
      <c r="B37" s="14" t="str">
        <f>PROPER(TRIM(Table1[[#This Row],[Customer Name]]))</f>
        <v>Lily Nelson</v>
      </c>
      <c r="C37" s="14" t="str">
        <f>Table1[[#This Row],[Gender]]</f>
        <v>Female</v>
      </c>
      <c r="D37" s="14">
        <f>Table1[[#This Row],[Age]]</f>
        <v>52</v>
      </c>
      <c r="E37" s="14" t="str">
        <f>Table1[[#This Row],[Location]]</f>
        <v>California</v>
      </c>
      <c r="F37" s="14" t="str">
        <f>Table1[[#This Row],[Subscription]]</f>
        <v>Premium</v>
      </c>
      <c r="G37" s="15">
        <f>Table1[[#This Row],[Monthly Charges]]</f>
        <v>85.99</v>
      </c>
      <c r="H37" s="14">
        <f>Table1[[#This Row],[Tenure Months]]</f>
        <v>40</v>
      </c>
      <c r="I37" s="14" t="str">
        <f>Table1[[#This Row],[Contract Type]]</f>
        <v>Two Year</v>
      </c>
      <c r="J37" s="14" t="str">
        <f>Table1[[#This Row],[Payment Method]]</f>
        <v>Bank Transfer</v>
      </c>
      <c r="K37" s="14">
        <f>Table1[[#This Row],[Support Calls]]</f>
        <v>0</v>
      </c>
      <c r="L37" s="14" t="str">
        <f>Table1[[#This Row],[Churn]]</f>
        <v>No</v>
      </c>
      <c r="M37" s="14" t="str">
        <f>IF(Table2[[#This Row],[Churn]]="Yes","Churned","Active")</f>
        <v>Active</v>
      </c>
      <c r="N37" s="14" t="str">
        <f>IF(Table2[[#This Row],[Tenure Months]]&lt;=6,"New",IF(Table2[[#This Row],[Tenure Months]]&lt;=24,"Established","Loyal"))</f>
        <v>Loyal</v>
      </c>
    </row>
    <row r="38" spans="1:14" x14ac:dyDescent="0.35">
      <c r="A38" s="14" t="str">
        <f>Table1[[#This Row],[Customer ID]]</f>
        <v>C037</v>
      </c>
      <c r="B38" s="14" t="str">
        <f>PROPER(TRIM(Table1[[#This Row],[Customer Name]]))</f>
        <v>Adam Carter</v>
      </c>
      <c r="C38" s="14" t="str">
        <f>Table1[[#This Row],[Gender]]</f>
        <v>Male</v>
      </c>
      <c r="D38" s="14">
        <f>Table1[[#This Row],[Age]]</f>
        <v>34</v>
      </c>
      <c r="E38" s="14" t="str">
        <f>Table1[[#This Row],[Location]]</f>
        <v>Texas</v>
      </c>
      <c r="F38" s="14" t="str">
        <f>Table1[[#This Row],[Subscription]]</f>
        <v>Basic</v>
      </c>
      <c r="G38" s="15">
        <f>Table1[[#This Row],[Monthly Charges]]</f>
        <v>30.49</v>
      </c>
      <c r="H38" s="14">
        <f>Table1[[#This Row],[Tenure Months]]</f>
        <v>12</v>
      </c>
      <c r="I38" s="14" t="str">
        <f>Table1[[#This Row],[Contract Type]]</f>
        <v>One Year</v>
      </c>
      <c r="J38" s="14" t="str">
        <f>Table1[[#This Row],[Payment Method]]</f>
        <v>Credit Card</v>
      </c>
      <c r="K38" s="14">
        <f>Table1[[#This Row],[Support Calls]]</f>
        <v>2</v>
      </c>
      <c r="L38" s="14" t="str">
        <f>Table1[[#This Row],[Churn]]</f>
        <v>No</v>
      </c>
      <c r="M38" s="14" t="str">
        <f>IF(Table2[[#This Row],[Churn]]="Yes","Churned","Active")</f>
        <v>Active</v>
      </c>
      <c r="N38" s="14" t="str">
        <f>IF(Table2[[#This Row],[Tenure Months]]&lt;=6,"New",IF(Table2[[#This Row],[Tenure Months]]&lt;=24,"Established","Loyal"))</f>
        <v>Established</v>
      </c>
    </row>
    <row r="39" spans="1:14" x14ac:dyDescent="0.35">
      <c r="A39" s="14" t="str">
        <f>Table1[[#This Row],[Customer ID]]</f>
        <v>C038</v>
      </c>
      <c r="B39" s="14" t="str">
        <f>PROPER(TRIM(Table1[[#This Row],[Customer Name]]))</f>
        <v>Zoe Mitchell</v>
      </c>
      <c r="C39" s="14" t="str">
        <f>Table1[[#This Row],[Gender]]</f>
        <v>Female</v>
      </c>
      <c r="D39" s="14">
        <f>Table1[[#This Row],[Age]]</f>
        <v>26</v>
      </c>
      <c r="E39" s="14" t="str">
        <f>Table1[[#This Row],[Location]]</f>
        <v>Illinois</v>
      </c>
      <c r="F39" s="14" t="str">
        <f>Table1[[#This Row],[Subscription]]</f>
        <v>Standard</v>
      </c>
      <c r="G39" s="15">
        <f>Table1[[#This Row],[Monthly Charges]]</f>
        <v>49.49</v>
      </c>
      <c r="H39" s="14">
        <f>Table1[[#This Row],[Tenure Months]]</f>
        <v>3</v>
      </c>
      <c r="I39" s="14" t="str">
        <f>Table1[[#This Row],[Contract Type]]</f>
        <v>Monthly</v>
      </c>
      <c r="J39" s="14" t="str">
        <f>Table1[[#This Row],[Payment Method]]</f>
        <v>PayPal</v>
      </c>
      <c r="K39" s="14">
        <f>Table1[[#This Row],[Support Calls]]</f>
        <v>6</v>
      </c>
      <c r="L39" s="14" t="str">
        <f>Table1[[#This Row],[Churn]]</f>
        <v>Yes</v>
      </c>
      <c r="M39" s="14" t="str">
        <f>IF(Table2[[#This Row],[Churn]]="Yes","Churned","Active")</f>
        <v>Churned</v>
      </c>
      <c r="N39" s="14" t="str">
        <f>IF(Table2[[#This Row],[Tenure Months]]&lt;=6,"New",IF(Table2[[#This Row],[Tenure Months]]&lt;=24,"Established","Loyal"))</f>
        <v>New</v>
      </c>
    </row>
    <row r="40" spans="1:14" x14ac:dyDescent="0.35">
      <c r="A40" s="14" t="str">
        <f>Table1[[#This Row],[Customer ID]]</f>
        <v>C039</v>
      </c>
      <c r="B40" s="14" t="str">
        <f>PROPER(TRIM(Table1[[#This Row],[Customer Name]]))</f>
        <v>Jacob Perez</v>
      </c>
      <c r="C40" s="14" t="str">
        <f>Table1[[#This Row],[Gender]]</f>
        <v>Male</v>
      </c>
      <c r="D40" s="14">
        <f>Table1[[#This Row],[Age]]</f>
        <v>48</v>
      </c>
      <c r="E40" s="14" t="str">
        <f>Table1[[#This Row],[Location]]</f>
        <v>Florida</v>
      </c>
      <c r="F40" s="14" t="str">
        <f>Table1[[#This Row],[Subscription]]</f>
        <v>Premium</v>
      </c>
      <c r="G40" s="15">
        <f>Table1[[#This Row],[Monthly Charges]]</f>
        <v>81.99</v>
      </c>
      <c r="H40" s="14">
        <f>Table1[[#This Row],[Tenure Months]]</f>
        <v>35</v>
      </c>
      <c r="I40" s="14" t="str">
        <f>Table1[[#This Row],[Contract Type]]</f>
        <v>Two Year</v>
      </c>
      <c r="J40" s="14" t="str">
        <f>Table1[[#This Row],[Payment Method]]</f>
        <v>Credit Card</v>
      </c>
      <c r="K40" s="14">
        <f>Table1[[#This Row],[Support Calls]]</f>
        <v>1</v>
      </c>
      <c r="L40" s="14" t="str">
        <f>Table1[[#This Row],[Churn]]</f>
        <v>No</v>
      </c>
      <c r="M40" s="14" t="str">
        <f>IF(Table2[[#This Row],[Churn]]="Yes","Churned","Active")</f>
        <v>Active</v>
      </c>
      <c r="N40" s="14" t="str">
        <f>IF(Table2[[#This Row],[Tenure Months]]&lt;=6,"New",IF(Table2[[#This Row],[Tenure Months]]&lt;=24,"Established","Loyal"))</f>
        <v>Loyal</v>
      </c>
    </row>
    <row r="41" spans="1:14" x14ac:dyDescent="0.35">
      <c r="A41" s="14" t="str">
        <f>Table1[[#This Row],[Customer ID]]</f>
        <v>C040</v>
      </c>
      <c r="B41" s="14" t="str">
        <f>PROPER(TRIM(Table1[[#This Row],[Customer Name]]))</f>
        <v>Mia Roberts</v>
      </c>
      <c r="C41" s="14" t="str">
        <f>Table1[[#This Row],[Gender]]</f>
        <v>Female</v>
      </c>
      <c r="D41" s="14">
        <f>Table1[[#This Row],[Age]]</f>
        <v>37</v>
      </c>
      <c r="E41" s="14" t="str">
        <f>Table1[[#This Row],[Location]]</f>
        <v>New York</v>
      </c>
      <c r="F41" s="14" t="str">
        <f>Table1[[#This Row],[Subscription]]</f>
        <v>Standard</v>
      </c>
      <c r="G41" s="15">
        <f>Table1[[#This Row],[Monthly Charges]]</f>
        <v>54.49</v>
      </c>
      <c r="H41" s="14">
        <f>Table1[[#This Row],[Tenure Months]]</f>
        <v>8</v>
      </c>
      <c r="I41" s="14" t="str">
        <f>Table1[[#This Row],[Contract Type]]</f>
        <v>Monthly</v>
      </c>
      <c r="J41" s="14" t="str">
        <f>Table1[[#This Row],[Payment Method]]</f>
        <v>Bank Transfer</v>
      </c>
      <c r="K41" s="14">
        <f>Table1[[#This Row],[Support Calls]]</f>
        <v>5</v>
      </c>
      <c r="L41" s="14" t="str">
        <f>Table1[[#This Row],[Churn]]</f>
        <v>Yes</v>
      </c>
      <c r="M41" s="14" t="str">
        <f>IF(Table2[[#This Row],[Churn]]="Yes","Churned","Active")</f>
        <v>Churned</v>
      </c>
      <c r="N41" s="14" t="str">
        <f>IF(Table2[[#This Row],[Tenure Months]]&lt;=6,"New",IF(Table2[[#This Row],[Tenure Months]]&lt;=24,"Established","Loyal"))</f>
        <v>Established</v>
      </c>
    </row>
  </sheetData>
  <conditionalFormatting sqref="G1:G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2:M1048576">
    <cfRule type="containsText" dxfId="1" priority="5" operator="containsText" text="Active">
      <formula>NOT(ISERROR(SEARCH("Active",M2)))</formula>
    </cfRule>
    <cfRule type="containsText" dxfId="0" priority="6" operator="containsText" text="Churned">
      <formula>NOT(ISERROR(SEARCH("Churned",M2)))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05DA-F982-474D-8A12-498F95E70E6B}">
  <dimension ref="A1:Q42"/>
  <sheetViews>
    <sheetView zoomScale="58" zoomScaleNormal="71" workbookViewId="0">
      <selection activeCell="I13" sqref="I13"/>
    </sheetView>
  </sheetViews>
  <sheetFormatPr defaultRowHeight="14" x14ac:dyDescent="0.3"/>
  <cols>
    <col min="1" max="1" width="24.453125" style="14" bestFit="1" customWidth="1"/>
    <col min="2" max="2" width="26.81640625" style="14" bestFit="1" customWidth="1"/>
    <col min="3" max="3" width="8.36328125" style="14" bestFit="1" customWidth="1"/>
    <col min="4" max="4" width="13.81640625" style="14" bestFit="1" customWidth="1"/>
    <col min="5" max="5" width="21.1796875" style="14" customWidth="1"/>
    <col min="6" max="6" width="18.90625" style="14" bestFit="1" customWidth="1"/>
    <col min="7" max="7" width="16.453125" style="14" bestFit="1" customWidth="1"/>
    <col min="8" max="8" width="8.36328125" style="14" bestFit="1" customWidth="1"/>
    <col min="9" max="9" width="15.08984375" style="14" bestFit="1" customWidth="1"/>
    <col min="10" max="10" width="9.7265625" style="14" bestFit="1" customWidth="1"/>
    <col min="11" max="11" width="18.90625" style="14" bestFit="1" customWidth="1"/>
    <col min="12" max="12" width="16.453125" style="14" bestFit="1" customWidth="1"/>
    <col min="13" max="13" width="8.36328125" style="14" bestFit="1" customWidth="1"/>
    <col min="14" max="14" width="14.7265625" style="14" bestFit="1" customWidth="1"/>
    <col min="15" max="15" width="10.7265625" style="14" customWidth="1"/>
    <col min="16" max="16" width="8.7265625" style="14"/>
    <col min="17" max="17" width="14.1796875" style="14" customWidth="1"/>
    <col min="18" max="16384" width="8.7265625" style="14"/>
  </cols>
  <sheetData>
    <row r="1" spans="1:17" ht="18.5" customHeight="1" x14ac:dyDescent="0.3">
      <c r="A1" s="40" t="s">
        <v>115</v>
      </c>
      <c r="B1" s="40"/>
      <c r="D1" s="39" t="s">
        <v>125</v>
      </c>
      <c r="E1" s="39"/>
      <c r="F1" s="39"/>
      <c r="G1" s="39"/>
      <c r="I1" s="39" t="s">
        <v>145</v>
      </c>
      <c r="J1" s="39"/>
      <c r="K1" s="39"/>
      <c r="L1" s="39"/>
    </row>
    <row r="2" spans="1:17" x14ac:dyDescent="0.3">
      <c r="A2" s="23" t="s">
        <v>116</v>
      </c>
      <c r="B2" s="23" t="s">
        <v>117</v>
      </c>
      <c r="D2" s="24" t="s">
        <v>5</v>
      </c>
      <c r="E2" s="24" t="s">
        <v>119</v>
      </c>
      <c r="F2" s="24" t="s">
        <v>118</v>
      </c>
      <c r="G2" s="24" t="s">
        <v>126</v>
      </c>
      <c r="I2" s="24" t="s">
        <v>8</v>
      </c>
      <c r="J2" s="24" t="s">
        <v>127</v>
      </c>
      <c r="K2" s="24" t="s">
        <v>128</v>
      </c>
      <c r="L2" s="24" t="s">
        <v>126</v>
      </c>
    </row>
    <row r="3" spans="1:17" x14ac:dyDescent="0.3">
      <c r="A3" s="12" t="s">
        <v>118</v>
      </c>
      <c r="B3" s="12">
        <f>COUNTA(CleanData!A:A)-1</f>
        <v>40</v>
      </c>
      <c r="D3" s="12" t="s">
        <v>31</v>
      </c>
      <c r="E3" s="12">
        <f>COUNTIFS(CleanData!F:F,Analysis!D3,CleanData!M:M,"Churned")</f>
        <v>6</v>
      </c>
      <c r="F3" s="14">
        <f>COUNTIFS(CleanData!F:F,Analysis!D3)</f>
        <v>12</v>
      </c>
      <c r="G3" s="16">
        <f>E3/F3</f>
        <v>0.5</v>
      </c>
      <c r="I3" s="12" t="s">
        <v>25</v>
      </c>
      <c r="J3" s="14">
        <f>COUNTIFS(CleanData!I:I,Analysis!I3,CleanData!M:M,"Churned")</f>
        <v>16</v>
      </c>
      <c r="K3" s="14">
        <f>COUNTIF(CleanData!I:I,Analysis!I3)</f>
        <v>16</v>
      </c>
      <c r="L3" s="16">
        <f>J3/K3</f>
        <v>1</v>
      </c>
    </row>
    <row r="4" spans="1:17" x14ac:dyDescent="0.3">
      <c r="A4" s="12" t="s">
        <v>119</v>
      </c>
      <c r="B4" s="12">
        <f>COUNTIF(CleanData!M:M,"Churned")</f>
        <v>16</v>
      </c>
      <c r="D4" s="12" t="s">
        <v>24</v>
      </c>
      <c r="E4" s="12">
        <f>COUNTIFS(CleanData!F:F,Analysis!D4,CleanData!M:M,"Churned")</f>
        <v>8</v>
      </c>
      <c r="F4" s="14">
        <f>COUNTIFS(CleanData!F:F,Analysis!D4)</f>
        <v>14</v>
      </c>
      <c r="G4" s="16">
        <f t="shared" ref="G4:G5" si="0">E4/F4</f>
        <v>0.5714285714285714</v>
      </c>
      <c r="I4" s="12" t="s">
        <v>35</v>
      </c>
      <c r="J4" s="14">
        <f>COUNTIFS(CleanData!I:I,Analysis!I4,CleanData!M:M,"Churned")</f>
        <v>0</v>
      </c>
      <c r="K4" s="14">
        <f>COUNTIF(CleanData!I:I,Analysis!I4)</f>
        <v>13</v>
      </c>
      <c r="L4" s="16">
        <f t="shared" ref="L4:L5" si="1">J4/K4</f>
        <v>0</v>
      </c>
    </row>
    <row r="5" spans="1:17" x14ac:dyDescent="0.3">
      <c r="A5" s="12" t="s">
        <v>120</v>
      </c>
      <c r="B5" s="12">
        <f>COUNTIF(CleanData!M:M,"Active")</f>
        <v>24</v>
      </c>
      <c r="D5" s="12" t="s">
        <v>16</v>
      </c>
      <c r="E5" s="12">
        <f>COUNTIFS(CleanData!F:F,Analysis!D5,CleanData!M:M,"Churned")</f>
        <v>2</v>
      </c>
      <c r="F5" s="14">
        <f>COUNTIFS(CleanData!F:F,Analysis!D5)</f>
        <v>14</v>
      </c>
      <c r="G5" s="16">
        <f t="shared" si="0"/>
        <v>0.14285714285714285</v>
      </c>
      <c r="I5" s="12" t="s">
        <v>17</v>
      </c>
      <c r="J5" s="14">
        <f>COUNTIFS(CleanData!I:I,Analysis!I5,CleanData!M:M,"Churned")</f>
        <v>0</v>
      </c>
      <c r="K5" s="14">
        <f>COUNTIF(CleanData!I:I,Analysis!I5)</f>
        <v>11</v>
      </c>
      <c r="L5" s="16">
        <f t="shared" si="1"/>
        <v>0</v>
      </c>
    </row>
    <row r="6" spans="1:17" x14ac:dyDescent="0.3">
      <c r="A6" s="12" t="s">
        <v>121</v>
      </c>
      <c r="B6" s="21">
        <f>B4/B3</f>
        <v>0.4</v>
      </c>
      <c r="J6" s="12"/>
      <c r="K6" s="12"/>
      <c r="L6" s="12"/>
      <c r="O6" s="12"/>
      <c r="P6" s="12"/>
      <c r="Q6" s="12"/>
    </row>
    <row r="7" spans="1:17" x14ac:dyDescent="0.3">
      <c r="A7" s="12" t="s">
        <v>122</v>
      </c>
      <c r="B7" s="17">
        <f>AVERAGE(CleanData!G:G)</f>
        <v>55.864999999999988</v>
      </c>
    </row>
    <row r="8" spans="1:17" x14ac:dyDescent="0.3">
      <c r="A8" s="12" t="s">
        <v>123</v>
      </c>
      <c r="B8" s="12">
        <f>AVERAGE(CleanData!H:H)</f>
        <v>17.925000000000001</v>
      </c>
    </row>
    <row r="9" spans="1:17" x14ac:dyDescent="0.3">
      <c r="A9" s="12" t="s">
        <v>124</v>
      </c>
      <c r="B9" s="22">
        <f>AVERAGE(CleanData!K:K)</f>
        <v>3.1</v>
      </c>
    </row>
    <row r="12" spans="1:17" ht="18" x14ac:dyDescent="0.3">
      <c r="A12" s="39" t="s">
        <v>129</v>
      </c>
      <c r="B12" s="39"/>
      <c r="C12" s="39"/>
      <c r="D12" s="39"/>
      <c r="F12" s="39" t="s">
        <v>134</v>
      </c>
      <c r="G12" s="39"/>
      <c r="H12" s="39"/>
      <c r="I12" s="39"/>
    </row>
    <row r="13" spans="1:17" x14ac:dyDescent="0.3">
      <c r="A13" s="24" t="s">
        <v>130</v>
      </c>
      <c r="B13" s="24" t="s">
        <v>127</v>
      </c>
      <c r="C13" s="24" t="s">
        <v>128</v>
      </c>
      <c r="D13" s="24" t="s">
        <v>126</v>
      </c>
      <c r="E13" s="18"/>
      <c r="F13" s="24" t="s">
        <v>2</v>
      </c>
      <c r="G13" s="24" t="s">
        <v>127</v>
      </c>
      <c r="H13" s="24" t="s">
        <v>128</v>
      </c>
      <c r="I13" s="24" t="s">
        <v>126</v>
      </c>
    </row>
    <row r="14" spans="1:17" x14ac:dyDescent="0.3">
      <c r="A14" s="12" t="s">
        <v>131</v>
      </c>
      <c r="B14" s="14">
        <f>COUNTIFS(CleanData!N:N,Analysis!A14,CleanData!M:M,"Churned")</f>
        <v>10</v>
      </c>
      <c r="C14" s="14">
        <f>COUNTIF(CleanData!N:N,Analysis!A14)</f>
        <v>10</v>
      </c>
      <c r="D14" s="16">
        <f>B14/C14</f>
        <v>1</v>
      </c>
      <c r="F14" s="12" t="s">
        <v>14</v>
      </c>
      <c r="G14" s="14">
        <f>COUNTIFS(CleanData!C:C,Analysis!F14,CleanData!M:M,"Churned")</f>
        <v>6</v>
      </c>
      <c r="H14" s="14">
        <f>COUNTIF(CleanData!C:C,Analysis!F14)</f>
        <v>20</v>
      </c>
      <c r="I14" s="16">
        <f>G14/H14</f>
        <v>0.3</v>
      </c>
    </row>
    <row r="15" spans="1:17" x14ac:dyDescent="0.3">
      <c r="A15" s="12" t="s">
        <v>132</v>
      </c>
      <c r="B15" s="14">
        <f>COUNTIFS(CleanData!N:N,Analysis!A15,CleanData!M:M,"Churned")</f>
        <v>6</v>
      </c>
      <c r="C15" s="14">
        <f>COUNTIF(CleanData!N:N,Analysis!A15)</f>
        <v>18</v>
      </c>
      <c r="D15" s="16">
        <f t="shared" ref="D15:D16" si="2">B15/C15</f>
        <v>0.33333333333333331</v>
      </c>
      <c r="F15" s="12" t="s">
        <v>22</v>
      </c>
      <c r="G15" s="14">
        <f>COUNTIFS(CleanData!C:C,Analysis!F15,CleanData!M:M,"Churned")</f>
        <v>10</v>
      </c>
      <c r="H15" s="14">
        <f>COUNTIF(CleanData!C:C,Analysis!F15)</f>
        <v>20</v>
      </c>
      <c r="I15" s="16">
        <f>G15/H15</f>
        <v>0.5</v>
      </c>
    </row>
    <row r="16" spans="1:17" x14ac:dyDescent="0.3">
      <c r="A16" s="12" t="s">
        <v>133</v>
      </c>
      <c r="B16" s="14">
        <f>COUNTIFS(CleanData!N:N,Analysis!A16,CleanData!M:M,"Churned")</f>
        <v>0</v>
      </c>
      <c r="C16" s="14">
        <f>COUNTIF(CleanData!N:N,Analysis!A16)</f>
        <v>12</v>
      </c>
      <c r="D16" s="16">
        <f t="shared" si="2"/>
        <v>0</v>
      </c>
      <c r="G16" s="12"/>
      <c r="H16" s="12"/>
      <c r="I16" s="12"/>
    </row>
    <row r="19" spans="1:14" ht="18" customHeight="1" x14ac:dyDescent="0.3">
      <c r="A19" s="40" t="s">
        <v>135</v>
      </c>
      <c r="B19" s="40"/>
    </row>
    <row r="20" spans="1:14" x14ac:dyDescent="0.3">
      <c r="A20" s="23" t="s">
        <v>136</v>
      </c>
      <c r="B20" s="23" t="s">
        <v>122</v>
      </c>
    </row>
    <row r="21" spans="1:14" ht="14.5" x14ac:dyDescent="0.3">
      <c r="A21" s="1" t="s">
        <v>127</v>
      </c>
      <c r="B21" s="2">
        <f>AVERAGEIF(CleanData!M:M,Analysis!A21,CleanData!G:G)</f>
        <v>45.302500000000002</v>
      </c>
    </row>
    <row r="22" spans="1:14" ht="14.5" x14ac:dyDescent="0.3">
      <c r="A22" s="1" t="s">
        <v>137</v>
      </c>
      <c r="B22" s="2">
        <f>AVERAGEIF(CleanData!M:M,Analysis!A22,CleanData!G:G)</f>
        <v>62.906666666666666</v>
      </c>
    </row>
    <row r="25" spans="1:14" ht="14.5" x14ac:dyDescent="0.35">
      <c r="A25" s="19" t="s">
        <v>141</v>
      </c>
      <c r="B25" s="19" t="s">
        <v>140</v>
      </c>
      <c r="C25"/>
      <c r="D25"/>
      <c r="F25" s="19" t="s">
        <v>141</v>
      </c>
      <c r="G25" s="19" t="s">
        <v>140</v>
      </c>
      <c r="H25"/>
      <c r="I25"/>
      <c r="K25" s="19" t="s">
        <v>141</v>
      </c>
      <c r="L25" s="19" t="s">
        <v>140</v>
      </c>
      <c r="M25"/>
      <c r="N25"/>
    </row>
    <row r="26" spans="1:14" ht="14.5" x14ac:dyDescent="0.35">
      <c r="A26" s="19" t="s">
        <v>138</v>
      </c>
      <c r="B26" t="s">
        <v>137</v>
      </c>
      <c r="C26" t="s">
        <v>127</v>
      </c>
      <c r="D26" t="s">
        <v>139</v>
      </c>
      <c r="F26" s="19" t="s">
        <v>138</v>
      </c>
      <c r="G26" t="s">
        <v>137</v>
      </c>
      <c r="H26" t="s">
        <v>127</v>
      </c>
      <c r="I26" t="s">
        <v>139</v>
      </c>
      <c r="K26" s="19" t="s">
        <v>138</v>
      </c>
      <c r="L26" t="s">
        <v>137</v>
      </c>
      <c r="M26" t="s">
        <v>127</v>
      </c>
      <c r="N26" t="s">
        <v>139</v>
      </c>
    </row>
    <row r="27" spans="1:14" ht="14.5" x14ac:dyDescent="0.35">
      <c r="A27" s="20" t="s">
        <v>31</v>
      </c>
      <c r="B27">
        <v>6</v>
      </c>
      <c r="C27">
        <v>6</v>
      </c>
      <c r="D27">
        <v>12</v>
      </c>
      <c r="F27" s="20" t="s">
        <v>25</v>
      </c>
      <c r="G27"/>
      <c r="H27">
        <v>16</v>
      </c>
      <c r="I27">
        <v>16</v>
      </c>
      <c r="K27" s="20" t="s">
        <v>132</v>
      </c>
      <c r="L27">
        <v>12</v>
      </c>
      <c r="M27">
        <v>6</v>
      </c>
      <c r="N27">
        <v>18</v>
      </c>
    </row>
    <row r="28" spans="1:14" ht="14.5" x14ac:dyDescent="0.35">
      <c r="A28" s="20" t="s">
        <v>16</v>
      </c>
      <c r="B28">
        <v>12</v>
      </c>
      <c r="C28">
        <v>2</v>
      </c>
      <c r="D28">
        <v>14</v>
      </c>
      <c r="F28" s="20" t="s">
        <v>35</v>
      </c>
      <c r="G28">
        <v>13</v>
      </c>
      <c r="H28"/>
      <c r="I28">
        <v>13</v>
      </c>
      <c r="K28" s="20" t="s">
        <v>133</v>
      </c>
      <c r="L28">
        <v>12</v>
      </c>
      <c r="M28"/>
      <c r="N28">
        <v>12</v>
      </c>
    </row>
    <row r="29" spans="1:14" ht="14.5" x14ac:dyDescent="0.35">
      <c r="A29" s="20" t="s">
        <v>24</v>
      </c>
      <c r="B29">
        <v>6</v>
      </c>
      <c r="C29">
        <v>8</v>
      </c>
      <c r="D29">
        <v>14</v>
      </c>
      <c r="F29" s="20" t="s">
        <v>17</v>
      </c>
      <c r="G29">
        <v>11</v>
      </c>
      <c r="H29"/>
      <c r="I29">
        <v>11</v>
      </c>
      <c r="K29" s="20" t="s">
        <v>131</v>
      </c>
      <c r="L29"/>
      <c r="M29">
        <v>10</v>
      </c>
      <c r="N29">
        <v>10</v>
      </c>
    </row>
    <row r="30" spans="1:14" ht="14.5" x14ac:dyDescent="0.35">
      <c r="A30" s="20" t="s">
        <v>139</v>
      </c>
      <c r="B30">
        <v>24</v>
      </c>
      <c r="C30">
        <v>16</v>
      </c>
      <c r="D30">
        <v>40</v>
      </c>
      <c r="F30" s="20" t="s">
        <v>139</v>
      </c>
      <c r="G30">
        <v>24</v>
      </c>
      <c r="H30">
        <v>16</v>
      </c>
      <c r="I30">
        <v>40</v>
      </c>
      <c r="K30" s="20" t="s">
        <v>139</v>
      </c>
      <c r="L30">
        <v>24</v>
      </c>
      <c r="M30">
        <v>16</v>
      </c>
      <c r="N30">
        <v>40</v>
      </c>
    </row>
    <row r="31" spans="1:14" ht="14.5" x14ac:dyDescent="0.35">
      <c r="A31"/>
      <c r="B31"/>
      <c r="C31"/>
      <c r="F31"/>
      <c r="G31"/>
      <c r="H31"/>
      <c r="K31"/>
      <c r="L31"/>
      <c r="M31"/>
    </row>
    <row r="32" spans="1:14" ht="14.5" x14ac:dyDescent="0.35">
      <c r="A32"/>
      <c r="B32"/>
      <c r="C32"/>
      <c r="F32"/>
      <c r="G32"/>
      <c r="H32"/>
      <c r="K32"/>
      <c r="L32"/>
      <c r="M32"/>
    </row>
    <row r="33" spans="1:13" ht="14.5" x14ac:dyDescent="0.35">
      <c r="A33"/>
      <c r="B33"/>
      <c r="C33"/>
      <c r="F33"/>
      <c r="G33"/>
      <c r="H33"/>
      <c r="K33"/>
      <c r="L33"/>
      <c r="M33"/>
    </row>
    <row r="34" spans="1:13" ht="14.5" x14ac:dyDescent="0.35">
      <c r="A34"/>
      <c r="B34"/>
      <c r="C34"/>
      <c r="F34"/>
      <c r="G34"/>
      <c r="H34"/>
      <c r="K34"/>
      <c r="L34"/>
      <c r="M34"/>
    </row>
    <row r="35" spans="1:13" ht="14.5" x14ac:dyDescent="0.35">
      <c r="A35"/>
      <c r="B35"/>
      <c r="C35"/>
      <c r="F35"/>
      <c r="G35"/>
      <c r="H35"/>
      <c r="K35"/>
      <c r="L35"/>
      <c r="M35"/>
    </row>
    <row r="36" spans="1:13" ht="14.5" x14ac:dyDescent="0.35">
      <c r="A36"/>
      <c r="B36"/>
      <c r="C36"/>
      <c r="F36"/>
      <c r="G36"/>
      <c r="H36"/>
      <c r="K36"/>
      <c r="L36"/>
      <c r="M36"/>
    </row>
    <row r="37" spans="1:13" ht="14.5" x14ac:dyDescent="0.35">
      <c r="A37"/>
      <c r="B37"/>
      <c r="C37"/>
      <c r="F37"/>
      <c r="G37"/>
      <c r="H37"/>
      <c r="K37"/>
      <c r="L37"/>
      <c r="M37"/>
    </row>
    <row r="38" spans="1:13" ht="14.5" x14ac:dyDescent="0.35">
      <c r="A38"/>
      <c r="B38"/>
      <c r="C38"/>
      <c r="F38"/>
      <c r="G38"/>
      <c r="H38"/>
      <c r="K38"/>
      <c r="L38"/>
      <c r="M38"/>
    </row>
    <row r="39" spans="1:13" ht="14.5" x14ac:dyDescent="0.35">
      <c r="A39"/>
      <c r="B39"/>
      <c r="C39"/>
      <c r="F39"/>
      <c r="G39"/>
      <c r="H39"/>
      <c r="K39"/>
      <c r="L39"/>
      <c r="M39"/>
    </row>
    <row r="40" spans="1:13" ht="14.5" x14ac:dyDescent="0.35">
      <c r="A40"/>
      <c r="B40"/>
      <c r="C40"/>
      <c r="F40"/>
      <c r="G40"/>
      <c r="H40"/>
      <c r="K40"/>
      <c r="L40"/>
      <c r="M40"/>
    </row>
    <row r="41" spans="1:13" ht="14.5" x14ac:dyDescent="0.35">
      <c r="A41"/>
      <c r="B41"/>
      <c r="C41"/>
      <c r="F41"/>
      <c r="G41"/>
      <c r="H41"/>
      <c r="K41"/>
      <c r="L41"/>
      <c r="M41"/>
    </row>
    <row r="42" spans="1:13" ht="14.5" x14ac:dyDescent="0.35">
      <c r="A42"/>
      <c r="B42"/>
      <c r="C42"/>
      <c r="F42"/>
      <c r="G42"/>
      <c r="H42"/>
      <c r="K42"/>
      <c r="L42"/>
      <c r="M42"/>
    </row>
  </sheetData>
  <mergeCells count="6">
    <mergeCell ref="A12:D12"/>
    <mergeCell ref="F12:I12"/>
    <mergeCell ref="A19:B19"/>
    <mergeCell ref="A1:B1"/>
    <mergeCell ref="D1:G1"/>
    <mergeCell ref="I1:L1"/>
  </mergeCells>
  <conditionalFormatting sqref="D14:D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4:I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L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0C9D-284B-46B5-BFD9-5E89C6B055D3}">
  <dimension ref="A1:O44"/>
  <sheetViews>
    <sheetView tabSelected="1" zoomScale="56" zoomScaleNormal="129" workbookViewId="0">
      <selection activeCell="A40" sqref="A40:E40"/>
    </sheetView>
  </sheetViews>
  <sheetFormatPr defaultRowHeight="14.5" x14ac:dyDescent="0.35"/>
  <cols>
    <col min="1" max="1" width="18.90625" bestFit="1" customWidth="1"/>
    <col min="2" max="2" width="9.81640625" bestFit="1" customWidth="1"/>
    <col min="3" max="3" width="22.26953125" customWidth="1"/>
    <col min="5" max="5" width="18.26953125" customWidth="1"/>
    <col min="7" max="7" width="19.08984375" customWidth="1"/>
    <col min="8" max="8" width="9.7265625" bestFit="1" customWidth="1"/>
    <col min="9" max="9" width="24.7265625" customWidth="1"/>
    <col min="14" max="14" width="16.54296875" bestFit="1" customWidth="1"/>
    <col min="15" max="15" width="13.54296875" customWidth="1"/>
  </cols>
  <sheetData>
    <row r="1" spans="1:15" ht="24.5" customHeight="1" x14ac:dyDescent="0.35">
      <c r="A1" s="41" t="s">
        <v>142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4" spans="1:15" x14ac:dyDescent="0.35">
      <c r="A4" s="29" t="s">
        <v>118</v>
      </c>
      <c r="C4" s="29" t="s">
        <v>119</v>
      </c>
      <c r="E4" s="29" t="s">
        <v>120</v>
      </c>
      <c r="G4" s="29" t="s">
        <v>121</v>
      </c>
      <c r="I4" s="29" t="s">
        <v>122</v>
      </c>
      <c r="N4" s="33" t="s">
        <v>143</v>
      </c>
      <c r="O4" s="34"/>
    </row>
    <row r="5" spans="1:15" x14ac:dyDescent="0.35">
      <c r="A5" s="30">
        <f>Analysis!B3</f>
        <v>40</v>
      </c>
      <c r="C5" s="30">
        <f>Analysis!B4</f>
        <v>16</v>
      </c>
      <c r="E5" s="30">
        <f>Analysis!B5</f>
        <v>24</v>
      </c>
      <c r="G5" s="31">
        <f>Analysis!B6</f>
        <v>0.4</v>
      </c>
      <c r="I5" s="32">
        <f>Analysis!B7</f>
        <v>55.864999999999988</v>
      </c>
      <c r="N5" s="27" t="s">
        <v>5</v>
      </c>
      <c r="O5" s="27" t="s">
        <v>126</v>
      </c>
    </row>
    <row r="6" spans="1:15" x14ac:dyDescent="0.35">
      <c r="N6" s="12" t="s">
        <v>31</v>
      </c>
      <c r="O6" s="25">
        <f>Analysis!G3</f>
        <v>0.5</v>
      </c>
    </row>
    <row r="7" spans="1:15" x14ac:dyDescent="0.35">
      <c r="N7" s="12" t="s">
        <v>24</v>
      </c>
      <c r="O7" s="25">
        <f>Analysis!G4</f>
        <v>0.5714285714285714</v>
      </c>
    </row>
    <row r="8" spans="1:15" x14ac:dyDescent="0.35">
      <c r="N8" s="12" t="s">
        <v>16</v>
      </c>
      <c r="O8" s="25">
        <f>Analysis!G5</f>
        <v>0.14285714285714285</v>
      </c>
    </row>
    <row r="10" spans="1:15" ht="14.5" customHeight="1" x14ac:dyDescent="0.35">
      <c r="N10" s="33" t="s">
        <v>144</v>
      </c>
      <c r="O10" s="34"/>
    </row>
    <row r="11" spans="1:15" x14ac:dyDescent="0.35">
      <c r="N11" s="27" t="s">
        <v>8</v>
      </c>
      <c r="O11" s="27" t="s">
        <v>126</v>
      </c>
    </row>
    <row r="12" spans="1:15" x14ac:dyDescent="0.35">
      <c r="N12" s="12" t="s">
        <v>25</v>
      </c>
      <c r="O12" s="25">
        <f>Analysis!L3</f>
        <v>1</v>
      </c>
    </row>
    <row r="13" spans="1:15" x14ac:dyDescent="0.35">
      <c r="N13" s="12" t="s">
        <v>35</v>
      </c>
      <c r="O13" s="25">
        <f>Analysis!L4</f>
        <v>0</v>
      </c>
    </row>
    <row r="14" spans="1:15" x14ac:dyDescent="0.35">
      <c r="N14" s="12" t="s">
        <v>17</v>
      </c>
      <c r="O14" s="25">
        <f>Analysis!L5</f>
        <v>0</v>
      </c>
    </row>
    <row r="16" spans="1:15" x14ac:dyDescent="0.35">
      <c r="N16" s="35" t="s">
        <v>146</v>
      </c>
      <c r="O16" s="36"/>
    </row>
    <row r="17" spans="14:15" x14ac:dyDescent="0.35">
      <c r="N17" s="28" t="s">
        <v>130</v>
      </c>
      <c r="O17" s="26" t="s">
        <v>126</v>
      </c>
    </row>
    <row r="18" spans="14:15" x14ac:dyDescent="0.35">
      <c r="N18" s="12" t="s">
        <v>131</v>
      </c>
      <c r="O18" s="25">
        <f>Analysis!D14</f>
        <v>1</v>
      </c>
    </row>
    <row r="19" spans="14:15" x14ac:dyDescent="0.35">
      <c r="N19" s="12" t="s">
        <v>132</v>
      </c>
      <c r="O19" s="25">
        <f>Analysis!D15</f>
        <v>0.33333333333333331</v>
      </c>
    </row>
    <row r="20" spans="14:15" x14ac:dyDescent="0.35">
      <c r="N20" s="12" t="s">
        <v>133</v>
      </c>
      <c r="O20" s="25">
        <f>Analysis!D16</f>
        <v>0</v>
      </c>
    </row>
    <row r="22" spans="14:15" x14ac:dyDescent="0.35">
      <c r="N22" s="37" t="s">
        <v>147</v>
      </c>
      <c r="O22" s="38"/>
    </row>
    <row r="23" spans="14:15" x14ac:dyDescent="0.35">
      <c r="N23" s="28" t="s">
        <v>2</v>
      </c>
      <c r="O23" s="26" t="s">
        <v>126</v>
      </c>
    </row>
    <row r="24" spans="14:15" x14ac:dyDescent="0.35">
      <c r="N24" s="12" t="s">
        <v>14</v>
      </c>
      <c r="O24" s="25">
        <f>Analysis!I14</f>
        <v>0.3</v>
      </c>
    </row>
    <row r="25" spans="14:15" x14ac:dyDescent="0.35">
      <c r="N25" s="12" t="s">
        <v>22</v>
      </c>
      <c r="O25" s="25">
        <f>Analysis!I15</f>
        <v>0.5</v>
      </c>
    </row>
    <row r="34" spans="1:5" ht="14.5" customHeight="1" x14ac:dyDescent="0.35"/>
    <row r="39" spans="1:5" ht="21" x14ac:dyDescent="0.35">
      <c r="A39" s="42" t="s">
        <v>148</v>
      </c>
      <c r="B39" s="43"/>
      <c r="C39" s="43"/>
      <c r="D39" s="43"/>
      <c r="E39" s="43"/>
    </row>
    <row r="40" spans="1:5" ht="16" x14ac:dyDescent="0.4">
      <c r="A40" s="44" t="s">
        <v>149</v>
      </c>
      <c r="B40" s="44"/>
      <c r="C40" s="44"/>
      <c r="D40" s="44"/>
      <c r="E40" s="44"/>
    </row>
    <row r="41" spans="1:5" ht="16" x14ac:dyDescent="0.4">
      <c r="A41" s="44" t="s">
        <v>150</v>
      </c>
      <c r="B41" s="44"/>
      <c r="C41" s="44"/>
      <c r="D41" s="44"/>
      <c r="E41" s="44"/>
    </row>
    <row r="42" spans="1:5" ht="16" x14ac:dyDescent="0.4">
      <c r="A42" s="44" t="s">
        <v>151</v>
      </c>
      <c r="B42" s="44"/>
      <c r="C42" s="44"/>
      <c r="D42" s="44"/>
      <c r="E42" s="44"/>
    </row>
    <row r="43" spans="1:5" ht="16" x14ac:dyDescent="0.4">
      <c r="A43" s="44" t="s">
        <v>152</v>
      </c>
      <c r="B43" s="44"/>
      <c r="C43" s="44"/>
      <c r="D43" s="44"/>
      <c r="E43" s="44"/>
    </row>
    <row r="44" spans="1:5" ht="16" x14ac:dyDescent="0.4">
      <c r="A44" s="44" t="s">
        <v>153</v>
      </c>
      <c r="B44" s="44"/>
      <c r="C44" s="44"/>
      <c r="D44" s="44"/>
      <c r="E44" s="44"/>
    </row>
  </sheetData>
  <mergeCells count="11">
    <mergeCell ref="A1:L1"/>
    <mergeCell ref="A44:E44"/>
    <mergeCell ref="N4:O4"/>
    <mergeCell ref="N10:O10"/>
    <mergeCell ref="N16:O16"/>
    <mergeCell ref="N22:O22"/>
    <mergeCell ref="A39:E39"/>
    <mergeCell ref="A40:E40"/>
    <mergeCell ref="A41:E41"/>
    <mergeCell ref="A42:E42"/>
    <mergeCell ref="A43:E43"/>
  </mergeCells>
  <conditionalFormatting sqref="O6:O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8:O2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:O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4:O2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RawData</vt:lpstr>
      <vt:lpstr>CleanData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SUMAIYA AHMED</dc:creator>
  <cp:lastModifiedBy>SUMAIYA AHMED</cp:lastModifiedBy>
  <dcterms:created xsi:type="dcterms:W3CDTF">2026-08-12T17:18:40Z</dcterms:created>
  <dcterms:modified xsi:type="dcterms:W3CDTF">2026-08-15T21:44:06Z</dcterms:modified>
</cp:coreProperties>
</file>