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mcstedusa-my.sharepoint.com/personal/221220359_student_um_edu_sa/Documents/سطح المكتب/Excel/"/>
    </mc:Choice>
  </mc:AlternateContent>
  <xr:revisionPtr revIDLastSave="484" documentId="8_{B75A6563-0ECC-4105-BA5B-DB9921083F72}" xr6:coauthVersionLast="47" xr6:coauthVersionMax="47" xr10:uidLastSave="{F6605E31-E9C3-40C9-A473-5BA97777B941}"/>
  <bookViews>
    <workbookView xWindow="-110" yWindow="-110" windowWidth="19420" windowHeight="12220" activeTab="3" xr2:uid="{6EE7D7A4-AA71-4F2A-9D26-2A4C0D1BFB25}"/>
  </bookViews>
  <sheets>
    <sheet name="Product" sheetId="1" r:id="rId1"/>
    <sheet name="Orders" sheetId="2" r:id="rId2"/>
    <sheet name="Pivot" sheetId="5" r:id="rId3"/>
    <sheet name="Dashboard" sheetId="4" r:id="rId4"/>
  </sheets>
  <definedNames>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4" i="4" l="1"/>
  <c r="G4" i="4"/>
  <c r="D20" i="2"/>
  <c r="E20" i="2"/>
  <c r="E29" i="2" s="1"/>
  <c r="F20" i="2"/>
  <c r="H20" i="2" s="1"/>
  <c r="F4" i="4"/>
  <c r="E24" i="2"/>
  <c r="D19" i="2"/>
  <c r="E19" i="2"/>
  <c r="F19" i="2"/>
  <c r="H19" i="2" s="1"/>
  <c r="F4" i="2"/>
  <c r="H4" i="2" s="1"/>
  <c r="F5" i="2"/>
  <c r="H5" i="2" s="1"/>
  <c r="F6" i="2"/>
  <c r="H6" i="2" s="1"/>
  <c r="F7" i="2"/>
  <c r="H7" i="2" s="1"/>
  <c r="F8" i="2"/>
  <c r="H8" i="2" s="1"/>
  <c r="F9" i="2"/>
  <c r="H9" i="2" s="1"/>
  <c r="F10" i="2"/>
  <c r="H10" i="2" s="1"/>
  <c r="F11" i="2"/>
  <c r="H11" i="2" s="1"/>
  <c r="F12" i="2"/>
  <c r="H12" i="2" s="1"/>
  <c r="F13" i="2"/>
  <c r="H13" i="2" s="1"/>
  <c r="F14" i="2"/>
  <c r="H14" i="2" s="1"/>
  <c r="F15" i="2"/>
  <c r="H15" i="2" s="1"/>
  <c r="F16" i="2"/>
  <c r="H16" i="2" s="1"/>
  <c r="F17" i="2"/>
  <c r="H17" i="2" s="1"/>
  <c r="F18" i="2"/>
  <c r="H18" i="2" s="1"/>
  <c r="E5" i="2"/>
  <c r="E4" i="2"/>
  <c r="E6" i="2"/>
  <c r="E7" i="2"/>
  <c r="E8" i="2"/>
  <c r="E9" i="2"/>
  <c r="E10" i="2"/>
  <c r="E11" i="2"/>
  <c r="E12" i="2"/>
  <c r="E13" i="2"/>
  <c r="E14" i="2"/>
  <c r="E15" i="2"/>
  <c r="E16" i="2"/>
  <c r="E17" i="2"/>
  <c r="E18" i="2"/>
  <c r="D4" i="2"/>
  <c r="D5" i="2"/>
  <c r="D6" i="2"/>
  <c r="D7" i="2"/>
  <c r="D8" i="2"/>
  <c r="D9" i="2"/>
  <c r="D10" i="2"/>
  <c r="D11" i="2"/>
  <c r="D12" i="2"/>
  <c r="D13" i="2"/>
  <c r="D14" i="2"/>
  <c r="D15" i="2"/>
  <c r="D16" i="2"/>
  <c r="D17" i="2"/>
  <c r="D18" i="2"/>
  <c r="E25" i="2" l="1"/>
  <c r="E26" i="2"/>
  <c r="E27" i="2"/>
  <c r="E28" i="2"/>
  <c r="E23" i="2"/>
</calcChain>
</file>

<file path=xl/sharedStrings.xml><?xml version="1.0" encoding="utf-8"?>
<sst xmlns="http://schemas.openxmlformats.org/spreadsheetml/2006/main" count="150" uniqueCount="92">
  <si>
    <t>Product ID</t>
  </si>
  <si>
    <t>Product Name</t>
  </si>
  <si>
    <t>Category</t>
  </si>
  <si>
    <t>P001</t>
  </si>
  <si>
    <t>Wireless Mouse</t>
  </si>
  <si>
    <t>Accessories</t>
  </si>
  <si>
    <t>P002</t>
  </si>
  <si>
    <t>Mechanical Keyboard</t>
  </si>
  <si>
    <t>P003</t>
  </si>
  <si>
    <t>24-inch Monitor</t>
  </si>
  <si>
    <t>Monitors</t>
  </si>
  <si>
    <t>P004</t>
  </si>
  <si>
    <t>USB-C Hub</t>
  </si>
  <si>
    <t>P005</t>
  </si>
  <si>
    <t>External SSD</t>
  </si>
  <si>
    <t>Storage</t>
  </si>
  <si>
    <t>P006</t>
  </si>
  <si>
    <t>Webcam HD</t>
  </si>
  <si>
    <t>P007</t>
  </si>
  <si>
    <t>Laptop Stand</t>
  </si>
  <si>
    <t>Office</t>
  </si>
  <si>
    <t>P008</t>
  </si>
  <si>
    <t>Bluetooth Speaker</t>
  </si>
  <si>
    <t>Audio</t>
  </si>
  <si>
    <t>P009</t>
  </si>
  <si>
    <t>Gaming Headset</t>
  </si>
  <si>
    <t>P010</t>
  </si>
  <si>
    <t>Portable Hard Drive</t>
  </si>
  <si>
    <t>P011</t>
  </si>
  <si>
    <t>Office Chair</t>
  </si>
  <si>
    <t>Furniture</t>
  </si>
  <si>
    <t>P012</t>
  </si>
  <si>
    <t>Desk Lamp</t>
  </si>
  <si>
    <t>P013</t>
  </si>
  <si>
    <t>Power Bank</t>
  </si>
  <si>
    <t>P014</t>
  </si>
  <si>
    <t>HDMI Cable</t>
  </si>
  <si>
    <t>P015</t>
  </si>
  <si>
    <t>Ergonomic Mouse Pad</t>
  </si>
  <si>
    <t>Unit Price($)</t>
  </si>
  <si>
    <t>Order ID</t>
  </si>
  <si>
    <t>Customer</t>
  </si>
  <si>
    <t>Quantity</t>
  </si>
  <si>
    <t>Total</t>
  </si>
  <si>
    <t>ORD001</t>
  </si>
  <si>
    <t>Sarah</t>
  </si>
  <si>
    <t>ORD002</t>
  </si>
  <si>
    <t>Ali</t>
  </si>
  <si>
    <t>ORD003</t>
  </si>
  <si>
    <t>John</t>
  </si>
  <si>
    <t>ORD004</t>
  </si>
  <si>
    <t>Fatima</t>
  </si>
  <si>
    <t>ORD005</t>
  </si>
  <si>
    <t>Ahmed</t>
  </si>
  <si>
    <t>ORD006</t>
  </si>
  <si>
    <t>Maria</t>
  </si>
  <si>
    <t>ORD007</t>
  </si>
  <si>
    <t>Yusuf</t>
  </si>
  <si>
    <t>ORD008</t>
  </si>
  <si>
    <t>Noor</t>
  </si>
  <si>
    <t>ORD009</t>
  </si>
  <si>
    <t>David</t>
  </si>
  <si>
    <t>ORD010</t>
  </si>
  <si>
    <t>Omar</t>
  </si>
  <si>
    <t>ORD011</t>
  </si>
  <si>
    <t>Emma</t>
  </si>
  <si>
    <t>ORD012</t>
  </si>
  <si>
    <t>Hasan</t>
  </si>
  <si>
    <t>ORD013</t>
  </si>
  <si>
    <t>Sophia</t>
  </si>
  <si>
    <t>ORD014</t>
  </si>
  <si>
    <t>Bilal</t>
  </si>
  <si>
    <t>ORD015</t>
  </si>
  <si>
    <t>Chloe</t>
  </si>
  <si>
    <t>Summary</t>
  </si>
  <si>
    <t>Values</t>
  </si>
  <si>
    <t>Total Sales</t>
  </si>
  <si>
    <t>Total Orders</t>
  </si>
  <si>
    <t>Sales from Accessories</t>
  </si>
  <si>
    <t>Sales from Audio</t>
  </si>
  <si>
    <t>Sales from Storage</t>
  </si>
  <si>
    <t>Sales from Office</t>
  </si>
  <si>
    <t>Sales from Furniture</t>
  </si>
  <si>
    <t>Product Sales &amp; Order Management System</t>
  </si>
  <si>
    <t>ORD016</t>
  </si>
  <si>
    <t>Michael</t>
  </si>
  <si>
    <t>Row Labels</t>
  </si>
  <si>
    <t>Grand Total</t>
  </si>
  <si>
    <t>Sum of Total</t>
  </si>
  <si>
    <t>Sales Dashboard</t>
  </si>
  <si>
    <t>Average Order Value</t>
  </si>
  <si>
    <t>ORD017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</si>
</sst>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Aptos Narrow"/>
      <family val="2"/>
      <scheme val="minor"/>
    </font>
    <font>
      <sz val="11"/>
      <color theme="1"/>
      <name val="Aptos Narrow"/>
      <family val="2"/>
      <scheme val="minor"/>
    </font>
    <font>
      <b/>
      <sz val="16"/>
      <color theme="0"/>
      <name val="Aptos Narrow"/>
      <family val="2"/>
      <scheme val="minor"/>
    </font>
    <font>
      <b/>
      <sz val="20"/>
      <color theme="0"/>
      <name val="Aptos Narrow"/>
      <family val="2"/>
      <scheme val="minor"/>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0" fontId="0" fillId="0" borderId="0" xfId="1" applyNumberFormat="1" applyFont="1"/>
    <xf numFmtId="0" fontId="3" fillId="2" borderId="1" xfId="0" applyFont="1" applyFill="1" applyBorder="1" applyAlignment="1">
      <alignment horizontal="center"/>
    </xf>
    <xf numFmtId="0" fontId="3" fillId="2" borderId="2" xfId="0" applyFont="1" applyFill="1" applyBorder="1" applyAlignment="1">
      <alignment horizontal="center"/>
    </xf>
    <xf numFmtId="0" fontId="2" fillId="2" borderId="0" xfId="0" applyFont="1" applyFill="1" applyAlignment="1">
      <alignment horizontal="center"/>
    </xf>
  </cellXfs>
  <cellStyles count="2">
    <cellStyle name="Currency" xfId="1" builtinId="4"/>
    <cellStyle name="Normal" xfId="0" builtinId="0"/>
  </cellStyles>
  <dxfs count="7">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dxf>
    <dxf>
      <numFmt numFmtId="0" formatCode="General"/>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[practice.xlsx]Pivot!PivotTable3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a:t>
            </a:r>
          </a:p>
        </c:rich>
      </c:tx>
      <c:layout>
        <c:manualLayout>
          <c:xMode val="edge"/>
          <c:yMode val="edge"/>
          <c:x val="0.41612892025415932"/>
          <c:y val="2.64640878001997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695358033805927E-2"/>
          <c:y val="0.14174881558693039"/>
          <c:w val="0.77760642452528128"/>
          <c:h val="0.75178473326455608"/>
        </c:manualLayout>
      </c:layout>
      <c:barChart>
        <c:barDir val="col"/>
        <c:grouping val="clustered"/>
        <c:varyColors val="0"/>
        <c:ser>
          <c:idx val="0"/>
          <c:order val="0"/>
          <c:tx>
            <c:strRef>
              <c:f>Pivot!$B$3</c:f>
              <c:strCache>
                <c:ptCount val="1"/>
                <c:pt idx="0">
                  <c:v>Total</c:v>
                </c:pt>
              </c:strCache>
            </c:strRef>
          </c:tx>
          <c:spPr>
            <a:solidFill>
              <a:schemeClr val="accent5"/>
            </a:solidFill>
            <a:ln>
              <a:noFill/>
            </a:ln>
            <a:effectLst/>
          </c:spPr>
          <c:invertIfNegative val="0"/>
          <c:cat>
            <c:strRef>
              <c:f>Pivot!$A$4:$A$10</c:f>
              <c:strCache>
                <c:ptCount val="6"/>
                <c:pt idx="0">
                  <c:v>Accessories</c:v>
                </c:pt>
                <c:pt idx="1">
                  <c:v>Audio</c:v>
                </c:pt>
                <c:pt idx="2">
                  <c:v>Furniture</c:v>
                </c:pt>
                <c:pt idx="3">
                  <c:v>Monitors</c:v>
                </c:pt>
                <c:pt idx="4">
                  <c:v>Office</c:v>
                </c:pt>
                <c:pt idx="5">
                  <c:v>Storage</c:v>
                </c:pt>
              </c:strCache>
            </c:strRef>
          </c:cat>
          <c:val>
            <c:numRef>
              <c:f>Pivot!$B$4:$B$10</c:f>
              <c:numCache>
                <c:formatCode>_("$"* #,##0.00_);_("$"* \(#,##0.00\);_("$"* "-"??_);_(@_)</c:formatCode>
                <c:ptCount val="6"/>
                <c:pt idx="0">
                  <c:v>885</c:v>
                </c:pt>
                <c:pt idx="1">
                  <c:v>1265</c:v>
                </c:pt>
                <c:pt idx="2">
                  <c:v>430</c:v>
                </c:pt>
                <c:pt idx="3">
                  <c:v>360</c:v>
                </c:pt>
                <c:pt idx="4">
                  <c:v>170</c:v>
                </c:pt>
                <c:pt idx="5">
                  <c:v>600</c:v>
                </c:pt>
              </c:numCache>
            </c:numRef>
          </c:val>
          <c:extLst>
            <c:ext xmlns:c16="http://schemas.microsoft.com/office/drawing/2014/chart" uri="{C3380CC4-5D6E-409C-BE32-E72D297353CC}">
              <c16:uniqueId val="{00000000-3838-45E7-B65C-AD69317038AA}"/>
            </c:ext>
          </c:extLst>
        </c:ser>
        <c:dLbls>
          <c:showLegendKey val="0"/>
          <c:showVal val="0"/>
          <c:showCatName val="0"/>
          <c:showSerName val="0"/>
          <c:showPercent val="0"/>
          <c:showBubbleSize val="0"/>
        </c:dLbls>
        <c:gapWidth val="219"/>
        <c:axId val="977293696"/>
        <c:axId val="696078576"/>
      </c:barChart>
      <c:catAx>
        <c:axId val="9772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078576"/>
        <c:crosses val="autoZero"/>
        <c:auto val="1"/>
        <c:lblAlgn val="ctr"/>
        <c:lblOffset val="100"/>
        <c:noMultiLvlLbl val="0"/>
      </c:catAx>
      <c:valAx>
        <c:axId val="6960785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9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[practice.xlsx]Pivot!PivotTable4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p>
        </c:rich>
      </c:tx>
      <c:layout>
        <c:manualLayout>
          <c:xMode val="edge"/>
          <c:yMode val="edge"/>
          <c:x val="0.46041994497350092"/>
          <c:y val="4.476085378625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5"/>
            </a:solidFill>
            <a:ln>
              <a:noFill/>
            </a:ln>
            <a:effectLst/>
          </c:spPr>
          <c:invertIfNegative val="0"/>
          <c:cat>
            <c:strRef>
              <c:f>Pivot!$D$4:$D$19</c:f>
              <c:strCache>
                <c:ptCount val="15"/>
                <c:pt idx="0">
                  <c:v>P001</c:v>
                </c:pt>
                <c:pt idx="1">
                  <c:v>P002</c:v>
                </c:pt>
                <c:pt idx="2">
                  <c:v>P003</c:v>
                </c:pt>
                <c:pt idx="3">
                  <c:v>P004</c:v>
                </c:pt>
                <c:pt idx="4">
                  <c:v>P005</c:v>
                </c:pt>
                <c:pt idx="5">
                  <c:v>P006</c:v>
                </c:pt>
                <c:pt idx="6">
                  <c:v>P007</c:v>
                </c:pt>
                <c:pt idx="7">
                  <c:v>P008</c:v>
                </c:pt>
                <c:pt idx="8">
                  <c:v>P009</c:v>
                </c:pt>
                <c:pt idx="9">
                  <c:v>P010</c:v>
                </c:pt>
                <c:pt idx="10">
                  <c:v>P011</c:v>
                </c:pt>
                <c:pt idx="11">
                  <c:v>P012</c:v>
                </c:pt>
                <c:pt idx="12">
                  <c:v>P013</c:v>
                </c:pt>
                <c:pt idx="13">
                  <c:v>P014</c:v>
                </c:pt>
                <c:pt idx="14">
                  <c:v>P015</c:v>
                </c:pt>
              </c:strCache>
            </c:strRef>
          </c:cat>
          <c:val>
            <c:numRef>
              <c:f>Pivot!$E$4:$E$19</c:f>
              <c:numCache>
                <c:formatCode>_("$"* #,##0.00_);_("$"* \(#,##0.00\);_("$"* "-"??_);_(@_)</c:formatCode>
                <c:ptCount val="15"/>
                <c:pt idx="0">
                  <c:v>100</c:v>
                </c:pt>
                <c:pt idx="1">
                  <c:v>80</c:v>
                </c:pt>
                <c:pt idx="2">
                  <c:v>360</c:v>
                </c:pt>
                <c:pt idx="3">
                  <c:v>240</c:v>
                </c:pt>
                <c:pt idx="4">
                  <c:v>240</c:v>
                </c:pt>
                <c:pt idx="5">
                  <c:v>165</c:v>
                </c:pt>
                <c:pt idx="6">
                  <c:v>70</c:v>
                </c:pt>
                <c:pt idx="7">
                  <c:v>1045</c:v>
                </c:pt>
                <c:pt idx="8">
                  <c:v>220</c:v>
                </c:pt>
                <c:pt idx="9">
                  <c:v>360</c:v>
                </c:pt>
                <c:pt idx="10">
                  <c:v>250</c:v>
                </c:pt>
                <c:pt idx="11">
                  <c:v>180</c:v>
                </c:pt>
                <c:pt idx="12">
                  <c:v>180</c:v>
                </c:pt>
                <c:pt idx="13">
                  <c:v>120</c:v>
                </c:pt>
                <c:pt idx="14">
                  <c:v>100</c:v>
                </c:pt>
              </c:numCache>
            </c:numRef>
          </c:val>
          <c:extLst>
            <c:ext xmlns:c16="http://schemas.microsoft.com/office/drawing/2014/chart" uri="{C3380CC4-5D6E-409C-BE32-E72D297353CC}">
              <c16:uniqueId val="{00000000-44E8-4F6A-9F21-4453F615EDBF}"/>
            </c:ext>
          </c:extLst>
        </c:ser>
        <c:dLbls>
          <c:showLegendKey val="0"/>
          <c:showVal val="0"/>
          <c:showCatName val="0"/>
          <c:showSerName val="0"/>
          <c:showPercent val="0"/>
          <c:showBubbleSize val="0"/>
        </c:dLbls>
        <c:gapWidth val="182"/>
        <c:axId val="244863984"/>
        <c:axId val="696077616"/>
      </c:barChart>
      <c:catAx>
        <c:axId val="24486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077616"/>
        <c:crosses val="autoZero"/>
        <c:auto val="1"/>
        <c:lblAlgn val="ctr"/>
        <c:lblOffset val="100"/>
        <c:noMultiLvlLbl val="0"/>
      </c:catAx>
      <c:valAx>
        <c:axId val="69607761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86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114061</xdr:colOff>
      <xdr:row>1</xdr:row>
      <xdr:rowOff>159419</xdr:rowOff>
    </xdr:from>
    <xdr:to>
      <xdr:col>10</xdr:col>
      <xdr:colOff>105833</xdr:colOff>
      <xdr:row>13</xdr:row>
      <xdr:rowOff>105835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0599BC9E-52F6-597D-7061-C32E5C98AC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53181" y="341688"/>
              <a:ext cx="2414180" cy="2133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602698</xdr:colOff>
      <xdr:row>6</xdr:row>
      <xdr:rowOff>48591</xdr:rowOff>
    </xdr:from>
    <xdr:to>
      <xdr:col>6</xdr:col>
      <xdr:colOff>34511</xdr:colOff>
      <xdr:row>21</xdr:row>
      <xdr:rowOff>28161</xdr:rowOff>
    </xdr:to>
    <xdr:graphicFrame macro="">
      <xdr:nvGraphicFramePr>
        <xdr:cNvPr id="2" name="Chart 1">
          <a:extLst>
            <a:ext uri="{FF2B5EF4-FFF2-40B4-BE49-F238E27FC236}">
              <a16:creationId xmlns:a16="http://schemas.microsoft.com/office/drawing/2014/main" id="{0739007B-062A-133C-E064-3702F3149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512499</xdr:colOff>
      <xdr:row>6</xdr:row>
      <xdr:rowOff>97185</xdr:rowOff>
    </xdr:from>
    <xdr:to>
      <xdr:col>13</xdr:col>
      <xdr:colOff>37353</xdr:colOff>
      <xdr:row>21</xdr:row>
      <xdr:rowOff>77931</xdr:rowOff>
    </xdr:to>
    <xdr:graphicFrame macro="">
      <xdr:nvGraphicFramePr>
        <xdr:cNvPr id="3" name="Chart 2">
          <a:extLst>
            <a:ext uri="{FF2B5EF4-FFF2-40B4-BE49-F238E27FC236}">
              <a16:creationId xmlns:a16="http://schemas.microsoft.com/office/drawing/2014/main" id="{91CDE0C9-A2B8-73F3-C752-270103D68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iya Omar" refreshedDate="46243.961541319448" createdVersion="8" refreshedVersion="8" minRefreshableVersion="3" recordCount="17" xr:uid="{7C66220F-5F0D-4BE6-AE97-A0767FD78AE8}">
  <cacheSource type="worksheet">
    <worksheetSource name="Table2"/>
  </cacheSource>
  <cacheFields count="8">
    <cacheField name="Order ID" numFmtId="0">
      <sharedItems/>
    </cacheField>
    <cacheField name="Customer" numFmtId="0">
      <sharedItems/>
    </cacheField>
    <cacheField name="Product ID" numFmtId="0">
      <sharedItems count="15">
        <s v="P003"/>
        <s v="P008"/>
        <s v="P001"/>
        <s v="P010"/>
        <s v="P006"/>
        <s v="P015"/>
        <s v="P011"/>
        <s v="P005"/>
        <s v="P004"/>
        <s v="P013"/>
        <s v="P009"/>
        <s v="P012"/>
        <s v="P014"/>
        <s v="P007"/>
        <s v="P002"/>
      </sharedItems>
    </cacheField>
    <cacheField name="Product Name" numFmtId="0">
      <sharedItems/>
    </cacheField>
    <cacheField name="Category" numFmtId="0">
      <sharedItems count="6">
        <s v="Monitors"/>
        <s v="Audio"/>
        <s v="Accessories"/>
        <s v="Storage"/>
        <s v="Office"/>
        <s v="Furniture"/>
      </sharedItems>
    </cacheField>
    <cacheField name="Unit Price($)" numFmtId="44">
      <sharedItems containsSemiMixedTypes="0" containsString="0" containsNumber="1" containsInteger="1" minValue="15" maxValue="250"/>
    </cacheField>
    <cacheField name="Quantity" numFmtId="0">
      <sharedItems containsSemiMixedTypes="0" containsString="0" containsNumber="1" containsInteger="1" minValue="1" maxValue="10"/>
    </cacheField>
    <cacheField name="Total" numFmtId="44">
      <sharedItems containsSemiMixedTypes="0" containsString="0" containsNumber="1" containsInteger="1" minValue="70" maxValue="950"/>
    </cacheField>
  </cacheFields>
  <extLst>
    <ext xmlns:x14="http://schemas.microsoft.com/office/spreadsheetml/2009/9/main" uri="{725AE2AE-9491-48be-B2B4-4EB974FC3084}">
      <x14:pivotCacheDefinition pivotCacheId="793754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ORD001"/>
    <s v="Sarah"/>
    <x v="0"/>
    <s v="24-inch Monitor"/>
    <x v="0"/>
    <n v="180"/>
    <n v="2"/>
    <n v="360"/>
  </r>
  <r>
    <s v="ORD002"/>
    <s v="Ali"/>
    <x v="1"/>
    <s v="Bluetooth Speaker"/>
    <x v="1"/>
    <n v="95"/>
    <n v="1"/>
    <n v="95"/>
  </r>
  <r>
    <s v="ORD003"/>
    <s v="John"/>
    <x v="2"/>
    <s v="Wireless Mouse"/>
    <x v="2"/>
    <n v="25"/>
    <n v="4"/>
    <n v="100"/>
  </r>
  <r>
    <s v="ORD004"/>
    <s v="Fatima"/>
    <x v="3"/>
    <s v="Portable Hard Drive"/>
    <x v="3"/>
    <n v="90"/>
    <n v="2"/>
    <n v="180"/>
  </r>
  <r>
    <s v="ORD005"/>
    <s v="Ahmed"/>
    <x v="4"/>
    <s v="Webcam HD"/>
    <x v="2"/>
    <n v="55"/>
    <n v="3"/>
    <n v="165"/>
  </r>
  <r>
    <s v="ORD006"/>
    <s v="Maria"/>
    <x v="5"/>
    <s v="Ergonomic Mouse Pad"/>
    <x v="4"/>
    <n v="20"/>
    <n v="5"/>
    <n v="100"/>
  </r>
  <r>
    <s v="ORD007"/>
    <s v="Yusuf"/>
    <x v="6"/>
    <s v="Office Chair"/>
    <x v="5"/>
    <n v="250"/>
    <n v="1"/>
    <n v="250"/>
  </r>
  <r>
    <s v="ORD008"/>
    <s v="Noor"/>
    <x v="7"/>
    <s v="External SSD"/>
    <x v="3"/>
    <n v="120"/>
    <n v="2"/>
    <n v="240"/>
  </r>
  <r>
    <s v="ORD009"/>
    <s v="David"/>
    <x v="8"/>
    <s v="USB-C Hub"/>
    <x v="2"/>
    <n v="40"/>
    <n v="6"/>
    <n v="240"/>
  </r>
  <r>
    <s v="ORD010"/>
    <s v="Omar"/>
    <x v="9"/>
    <s v="Power Bank"/>
    <x v="2"/>
    <n v="60"/>
    <n v="3"/>
    <n v="180"/>
  </r>
  <r>
    <s v="ORD011"/>
    <s v="Emma"/>
    <x v="10"/>
    <s v="Gaming Headset"/>
    <x v="1"/>
    <n v="110"/>
    <n v="2"/>
    <n v="220"/>
  </r>
  <r>
    <s v="ORD012"/>
    <s v="Hasan"/>
    <x v="11"/>
    <s v="Desk Lamp"/>
    <x v="5"/>
    <n v="45"/>
    <n v="4"/>
    <n v="180"/>
  </r>
  <r>
    <s v="ORD013"/>
    <s v="Sophia"/>
    <x v="12"/>
    <s v="HDMI Cable"/>
    <x v="2"/>
    <n v="15"/>
    <n v="8"/>
    <n v="120"/>
  </r>
  <r>
    <s v="ORD014"/>
    <s v="Bilal"/>
    <x v="13"/>
    <s v="Laptop Stand"/>
    <x v="4"/>
    <n v="35"/>
    <n v="2"/>
    <n v="70"/>
  </r>
  <r>
    <s v="ORD015"/>
    <s v="Chloe"/>
    <x v="14"/>
    <s v="Mechanical Keyboard"/>
    <x v="2"/>
    <n v="80"/>
    <n v="1"/>
    <n v="80"/>
  </r>
  <r>
    <s v="ORD016"/>
    <s v="Michael"/>
    <x v="1"/>
    <s v="Bluetooth Speaker"/>
    <x v="1"/>
    <n v="95"/>
    <n v="10"/>
    <n v="950"/>
  </r>
  <r>
    <s v="ORD017"/>
    <s v="Sarah"/>
    <x v="3"/>
    <s v="Portable Hard Drive"/>
    <x v="3"/>
    <n v="90"/>
    <n v="2"/>
    <n v="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2C0F26-13B1-4839-935B-938E7849FC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9" firstHeaderRow="1" firstDataRow="1" firstDataCol="1"/>
  <pivotFields count="8">
    <pivotField showAll="0"/>
    <pivotField showAll="0"/>
    <pivotField axis="axisRow" showAll="0" sortType="ascending">
      <items count="16">
        <item x="2"/>
        <item x="14"/>
        <item x="0"/>
        <item x="8"/>
        <item x="7"/>
        <item x="4"/>
        <item x="13"/>
        <item x="1"/>
        <item x="10"/>
        <item x="3"/>
        <item x="6"/>
        <item x="11"/>
        <item x="9"/>
        <item x="12"/>
        <item x="5"/>
        <item t="default"/>
      </items>
    </pivotField>
    <pivotField showAll="0"/>
    <pivotField showAll="0">
      <items count="7">
        <item x="2"/>
        <item x="1"/>
        <item x="5"/>
        <item x="0"/>
        <item x="4"/>
        <item x="3"/>
        <item t="default"/>
      </items>
    </pivotField>
    <pivotField numFmtId="44" showAll="0"/>
    <pivotField showAll="0"/>
    <pivotField dataField="1" numFmtId="44"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Total" fld="7" baseField="0" baseItem="0" numFmtId="44"/>
  </dataFields>
  <chartFormats count="15">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2">
          <reference field="4294967294" count="1" selected="0">
            <x v="0"/>
          </reference>
          <reference field="2" count="1" selected="0">
            <x v="1"/>
          </reference>
        </references>
      </pivotArea>
    </chartFormat>
    <chartFormat chart="3" format="3" series="1">
      <pivotArea type="data" outline="0" fieldPosition="0">
        <references count="2">
          <reference field="4294967294" count="1" selected="0">
            <x v="0"/>
          </reference>
          <reference field="2" count="1" selected="0">
            <x v="0"/>
          </reference>
        </references>
      </pivotArea>
    </chartFormat>
    <chartFormat chart="3" format="4" series="1">
      <pivotArea type="data" outline="0" fieldPosition="0">
        <references count="2">
          <reference field="4294967294" count="1" selected="0">
            <x v="0"/>
          </reference>
          <reference field="2" count="1" selected="0">
            <x v="14"/>
          </reference>
        </references>
      </pivotArea>
    </chartFormat>
    <chartFormat chart="3" format="5" series="1">
      <pivotArea type="data" outline="0" fieldPosition="0">
        <references count="2">
          <reference field="4294967294" count="1" selected="0">
            <x v="0"/>
          </reference>
          <reference field="2" count="1" selected="0">
            <x v="13"/>
          </reference>
        </references>
      </pivotArea>
    </chartFormat>
    <chartFormat chart="3" format="6" series="1">
      <pivotArea type="data" outline="0" fieldPosition="0">
        <references count="2">
          <reference field="4294967294" count="1" selected="0">
            <x v="0"/>
          </reference>
          <reference field="2" count="1" selected="0">
            <x v="5"/>
          </reference>
        </references>
      </pivotArea>
    </chartFormat>
    <chartFormat chart="3" format="7" series="1">
      <pivotArea type="data" outline="0" fieldPosition="0">
        <references count="2">
          <reference field="4294967294" count="1" selected="0">
            <x v="0"/>
          </reference>
          <reference field="2" count="1" selected="0">
            <x v="9"/>
          </reference>
        </references>
      </pivotArea>
    </chartFormat>
    <chartFormat chart="3" format="8" series="1">
      <pivotArea type="data" outline="0" fieldPosition="0">
        <references count="2">
          <reference field="4294967294" count="1" selected="0">
            <x v="0"/>
          </reference>
          <reference field="2" count="1" selected="0">
            <x v="11"/>
          </reference>
        </references>
      </pivotArea>
    </chartFormat>
    <chartFormat chart="3" format="9" series="1">
      <pivotArea type="data" outline="0" fieldPosition="0">
        <references count="2">
          <reference field="4294967294" count="1" selected="0">
            <x v="0"/>
          </reference>
          <reference field="2" count="1" selected="0">
            <x v="12"/>
          </reference>
        </references>
      </pivotArea>
    </chartFormat>
    <chartFormat chart="3" format="10" series="1">
      <pivotArea type="data" outline="0" fieldPosition="0">
        <references count="2">
          <reference field="4294967294" count="1" selected="0">
            <x v="0"/>
          </reference>
          <reference field="2" count="1" selected="0">
            <x v="8"/>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3" format="12" series="1">
      <pivotArea type="data" outline="0" fieldPosition="0">
        <references count="2">
          <reference field="4294967294" count="1" selected="0">
            <x v="0"/>
          </reference>
          <reference field="2" count="1" selected="0">
            <x v="4"/>
          </reference>
        </references>
      </pivotArea>
    </chartFormat>
    <chartFormat chart="3" format="13" series="1">
      <pivotArea type="data" outline="0" fieldPosition="0">
        <references count="2">
          <reference field="4294967294" count="1" selected="0">
            <x v="0"/>
          </reference>
          <reference field="2" count="1" selected="0">
            <x v="10"/>
          </reference>
        </references>
      </pivotArea>
    </chartFormat>
    <chartFormat chart="3" format="14" series="1">
      <pivotArea type="data" outline="0" fieldPosition="0">
        <references count="2">
          <reference field="4294967294" count="1" selected="0">
            <x v="0"/>
          </reference>
          <reference field="2" count="1" selected="0">
            <x v="2"/>
          </reference>
        </references>
      </pivotArea>
    </chartFormat>
    <chartFormat chart="3" format="15" series="1">
      <pivotArea type="data" outline="0" fieldPosition="0">
        <references count="2">
          <reference field="4294967294" count="1" selected="0">
            <x v="0"/>
          </reference>
          <reference field="2" count="1" selected="0">
            <x v="7"/>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23761A-2BA4-4FA0-BD3C-1721C7D5470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3:B10" firstHeaderRow="1" firstDataRow="1" firstDataCol="1"/>
  <pivotFields count="8">
    <pivotField showAll="0"/>
    <pivotField showAll="0"/>
    <pivotField showAll="0"/>
    <pivotField showAll="0"/>
    <pivotField axis="axisRow" showAll="0" sortType="ascending">
      <items count="7">
        <item x="2"/>
        <item x="1"/>
        <item x="5"/>
        <item x="0"/>
        <item x="4"/>
        <item x="3"/>
        <item t="default"/>
      </items>
    </pivotField>
    <pivotField numFmtId="44" showAll="0"/>
    <pivotField showAll="0"/>
    <pivotField dataField="1" numFmtId="44" showAll="0"/>
  </pivotFields>
  <rowFields count="1">
    <field x="4"/>
  </rowFields>
  <rowItems count="7">
    <i>
      <x/>
    </i>
    <i>
      <x v="1"/>
    </i>
    <i>
      <x v="2"/>
    </i>
    <i>
      <x v="3"/>
    </i>
    <i>
      <x v="4"/>
    </i>
    <i>
      <x v="5"/>
    </i>
    <i t="grand">
      <x/>
    </i>
  </rowItems>
  <colItems count="1">
    <i/>
  </colItems>
  <dataFields count="1">
    <dataField name="Sum of Total" fld="7" baseField="0" baseItem="0" numFmtId="44"/>
  </dataFields>
  <chartFormats count="6">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2">
          <reference field="4294967294" count="1" selected="0">
            <x v="0"/>
          </reference>
          <reference field="4" count="1" selected="0">
            <x v="5"/>
          </reference>
        </references>
      </pivotArea>
    </chartFormat>
    <chartFormat chart="4" format="9" series="1">
      <pivotArea type="data" outline="0" fieldPosition="0">
        <references count="2">
          <reference field="4294967294" count="1" selected="0">
            <x v="0"/>
          </reference>
          <reference field="4" count="1" selected="0">
            <x v="2"/>
          </reference>
        </references>
      </pivotArea>
    </chartFormat>
    <chartFormat chart="4" format="10" series="1">
      <pivotArea type="data" outline="0" fieldPosition="0">
        <references count="2">
          <reference field="4294967294" count="1" selected="0">
            <x v="0"/>
          </reference>
          <reference field="4" count="1" selected="0">
            <x v="0"/>
          </reference>
        </references>
      </pivotArea>
    </chartFormat>
    <chartFormat chart="4" format="11" series="1">
      <pivotArea type="data" outline="0" fieldPosition="0">
        <references count="2">
          <reference field="4294967294" count="1" selected="0">
            <x v="0"/>
          </reference>
          <reference field="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E1C793-68C5-40E6-AD37-A5D888CDBB9E}" sourceName="Category">
  <pivotTables>
    <pivotTable tabId="5" name="PivotTable3"/>
    <pivotTable tabId="5" name="PivotTable4"/>
  </pivotTables>
  <data>
    <tabular pivotCacheId="793754296">
      <items count="6">
        <i x="2" s="1"/>
        <i x="1" s="1"/>
        <i x="5"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CA57FCC-273B-4810-BA35-40AC82E87B4D}" cache="Slicer_Category" caption="Category"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A8595-7805-4A24-B985-22C4FA9F4E45}" name="Table1" displayName="Table1" ref="B4:E19" totalsRowShown="0">
  <autoFilter ref="B4:E19" xr:uid="{C29A8595-7805-4A24-B985-22C4FA9F4E45}">
    <filterColumn colId="0" hiddenButton="1"/>
    <filterColumn colId="1" hiddenButton="1"/>
    <filterColumn colId="2" hiddenButton="1"/>
    <filterColumn colId="3" hiddenButton="1"/>
  </autoFilter>
  <tableColumns count="4">
    <tableColumn id="1" xr3:uid="{D77B76E0-37CA-4FDB-8EA4-7A7851B642C4}" name="Product ID"/>
    <tableColumn id="2" xr3:uid="{DF880EBB-1C03-4266-9128-8E27ADC1CC71}" name="Product Name"/>
    <tableColumn id="3" xr3:uid="{22C8A5FA-FAF5-4541-9F25-6F694BB27E42}" name="Category"/>
    <tableColumn id="4" xr3:uid="{C1492366-4F44-4DE2-90C6-484DF0BA8990}" name="Unit Price($)" dataCellStyle="Currency"/>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8526CF-EEC0-4490-B149-ACADF1F0F937}" name="Table2" displayName="Table2" ref="A3:H20" totalsRowShown="0">
  <autoFilter ref="A3:H20" xr:uid="{D48526CF-EEC0-4490-B149-ACADF1F0F93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7A3E962-6663-42E4-BA7A-122364A05C7B}" name="Order ID"/>
    <tableColumn id="2" xr3:uid="{7A29EA1F-EE41-426A-BFEC-8123D15AAC7C}" name="Customer"/>
    <tableColumn id="3" xr3:uid="{8D163E67-4AD3-4FBA-A683-8BF5EE14AF6F}" name="Product ID"/>
    <tableColumn id="4" xr3:uid="{892324DC-9495-4CB1-ADF2-5EE5F305978D}" name="Product Name" dataDxfId="4">
      <calculatedColumnFormula>_xlfn.XLOOKUP(C4,Product!$B$5:$B$19,Product!$C$5:$C$19)</calculatedColumnFormula>
    </tableColumn>
    <tableColumn id="5" xr3:uid="{23B0E58D-FB3A-4CA7-867E-D5FEF134E2C3}" name="Category" dataDxfId="3">
      <calculatedColumnFormula>_xlfn.XLOOKUP(C4,Product!$B$5:$B$19,Product!$D$5:$D$19)</calculatedColumnFormula>
    </tableColumn>
    <tableColumn id="6" xr3:uid="{82CBE3CB-CDCC-4A31-A2E1-5B2BD2136BE2}" name="Unit Price($)" dataCellStyle="Currency">
      <calculatedColumnFormula>_xlfn.XLOOKUP(C4,Product!$B$5:$B$19,Product!$E$5:$E$19)</calculatedColumnFormula>
    </tableColumn>
    <tableColumn id="7" xr3:uid="{E342651D-EFBA-4C0E-ACAD-2EB39497B755}" name="Quantity"/>
    <tableColumn id="8" xr3:uid="{AE55E4F8-FDDE-42E2-BC18-336B00A786C0}" name="Total" dataCellStyle="Currency">
      <calculatedColumnFormula>Table2[[#This Row],[Unit Price($)]]*Table2[[#This Row],[Quantity]]</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8C95AC-E3E4-4D20-8D15-F6EBBD57760D}" name="Table3" displayName="Table3" ref="D22:E29" totalsRowShown="0">
  <autoFilter ref="D22:E29" xr:uid="{158C95AC-E3E4-4D20-8D15-F6EBBD57760D}">
    <filterColumn colId="0" hiddenButton="1"/>
    <filterColumn colId="1" hiddenButton="1"/>
  </autoFilter>
  <tableColumns count="2">
    <tableColumn id="1" xr3:uid="{77EAC9D6-8EBA-4AC4-B656-73C74A326979}" name="Summary"/>
    <tableColumn id="2" xr3:uid="{3B7DFD8A-1418-44B7-9F0F-BBC1DDF0F7E8}" name="Values" dataCellStyle="Currency"/>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DAD2D6-1C5C-4B73-8F1B-F97F172A5806}" name="Table4" displayName="Table4" ref="F3:H4" totalsRowShown="0">
  <autoFilter ref="F3:H4" xr:uid="{84DAD2D6-1C5C-4B73-8F1B-F97F172A5806}">
    <filterColumn colId="0" hiddenButton="1"/>
    <filterColumn colId="1" hiddenButton="1"/>
    <filterColumn colId="2" hiddenButton="1"/>
  </autoFilter>
  <tableColumns count="3">
    <tableColumn id="1" xr3:uid="{F84DDABF-983C-42F5-9D81-ACE2B1CD5B20}" name="Total Sales" dataDxfId="6">
      <calculatedColumnFormula>Pivot!B10</calculatedColumnFormula>
    </tableColumn>
    <tableColumn id="2" xr3:uid="{27F28520-CA17-4B11-BE11-128C853BBFB5}" name="Total Orders">
      <calculatedColumnFormula>COUNTA(Table2[Order ID])</calculatedColumnFormula>
    </tableColumn>
    <tableColumn id="3" xr3:uid="{3DFF59E7-D4A3-41B0-83C9-186FE98C802E}" name="Average Order Value" dataDxfId="5">
      <calculatedColumnFormula>AVERAGE(Table2[Total])</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6D1B-F038-4B8C-8EC2-9F617A32BC9D}">
  <dimension ref="A1:F19"/>
  <sheetViews>
    <sheetView zoomScale="104" zoomScaleNormal="104" workbookViewId="0">
      <selection sqref="A1:F1"/>
    </sheetView>
  </sheetViews>
  <sheetFormatPr defaultRowHeight="14.5" x14ac:dyDescent="0.35"/>
  <cols>
    <col min="2" max="2" width="14.08984375" customWidth="1"/>
    <col min="3" max="3" width="23.81640625" customWidth="1"/>
    <col min="4" max="4" width="18" customWidth="1"/>
    <col min="5" max="5" width="15" customWidth="1"/>
  </cols>
  <sheetData>
    <row r="1" spans="1:6" ht="21" x14ac:dyDescent="0.5">
      <c r="A1" s="8" t="s">
        <v>83</v>
      </c>
      <c r="B1" s="8"/>
      <c r="C1" s="8"/>
      <c r="D1" s="8"/>
      <c r="E1" s="8"/>
      <c r="F1" s="8"/>
    </row>
    <row r="4" spans="1:6" x14ac:dyDescent="0.35">
      <c r="B4" t="s">
        <v>0</v>
      </c>
      <c r="C4" t="s">
        <v>1</v>
      </c>
      <c r="D4" t="s">
        <v>2</v>
      </c>
      <c r="E4" t="s">
        <v>39</v>
      </c>
    </row>
    <row r="5" spans="1:6" x14ac:dyDescent="0.35">
      <c r="B5" t="s">
        <v>3</v>
      </c>
      <c r="C5" t="s">
        <v>4</v>
      </c>
      <c r="D5" t="s">
        <v>5</v>
      </c>
      <c r="E5" s="1">
        <v>25</v>
      </c>
    </row>
    <row r="6" spans="1:6" x14ac:dyDescent="0.35">
      <c r="B6" t="s">
        <v>6</v>
      </c>
      <c r="C6" t="s">
        <v>7</v>
      </c>
      <c r="D6" t="s">
        <v>5</v>
      </c>
      <c r="E6" s="1">
        <v>80</v>
      </c>
    </row>
    <row r="7" spans="1:6" x14ac:dyDescent="0.35">
      <c r="B7" t="s">
        <v>8</v>
      </c>
      <c r="C7" t="s">
        <v>9</v>
      </c>
      <c r="D7" t="s">
        <v>10</v>
      </c>
      <c r="E7" s="1">
        <v>180</v>
      </c>
    </row>
    <row r="8" spans="1:6" x14ac:dyDescent="0.35">
      <c r="B8" t="s">
        <v>11</v>
      </c>
      <c r="C8" t="s">
        <v>12</v>
      </c>
      <c r="D8" t="s">
        <v>5</v>
      </c>
      <c r="E8" s="1">
        <v>40</v>
      </c>
    </row>
    <row r="9" spans="1:6" x14ac:dyDescent="0.35">
      <c r="B9" t="s">
        <v>13</v>
      </c>
      <c r="C9" t="s">
        <v>14</v>
      </c>
      <c r="D9" t="s">
        <v>15</v>
      </c>
      <c r="E9" s="1">
        <v>120</v>
      </c>
    </row>
    <row r="10" spans="1:6" x14ac:dyDescent="0.35">
      <c r="B10" t="s">
        <v>16</v>
      </c>
      <c r="C10" t="s">
        <v>17</v>
      </c>
      <c r="D10" t="s">
        <v>5</v>
      </c>
      <c r="E10" s="1">
        <v>55</v>
      </c>
    </row>
    <row r="11" spans="1:6" x14ac:dyDescent="0.35">
      <c r="B11" t="s">
        <v>18</v>
      </c>
      <c r="C11" t="s">
        <v>19</v>
      </c>
      <c r="D11" t="s">
        <v>20</v>
      </c>
      <c r="E11" s="1">
        <v>35</v>
      </c>
    </row>
    <row r="12" spans="1:6" x14ac:dyDescent="0.35">
      <c r="B12" t="s">
        <v>21</v>
      </c>
      <c r="C12" t="s">
        <v>22</v>
      </c>
      <c r="D12" t="s">
        <v>23</v>
      </c>
      <c r="E12" s="1">
        <v>95</v>
      </c>
    </row>
    <row r="13" spans="1:6" x14ac:dyDescent="0.35">
      <c r="B13" t="s">
        <v>24</v>
      </c>
      <c r="C13" t="s">
        <v>25</v>
      </c>
      <c r="D13" t="s">
        <v>23</v>
      </c>
      <c r="E13" s="1">
        <v>110</v>
      </c>
    </row>
    <row r="14" spans="1:6" x14ac:dyDescent="0.35">
      <c r="B14" t="s">
        <v>26</v>
      </c>
      <c r="C14" t="s">
        <v>27</v>
      </c>
      <c r="D14" t="s">
        <v>15</v>
      </c>
      <c r="E14" s="1">
        <v>90</v>
      </c>
    </row>
    <row r="15" spans="1:6" x14ac:dyDescent="0.35">
      <c r="B15" t="s">
        <v>28</v>
      </c>
      <c r="C15" t="s">
        <v>29</v>
      </c>
      <c r="D15" t="s">
        <v>30</v>
      </c>
      <c r="E15" s="1">
        <v>250</v>
      </c>
    </row>
    <row r="16" spans="1:6" x14ac:dyDescent="0.35">
      <c r="B16" t="s">
        <v>31</v>
      </c>
      <c r="C16" t="s">
        <v>32</v>
      </c>
      <c r="D16" t="s">
        <v>30</v>
      </c>
      <c r="E16" s="1">
        <v>45</v>
      </c>
    </row>
    <row r="17" spans="2:5" x14ac:dyDescent="0.35">
      <c r="B17" t="s">
        <v>33</v>
      </c>
      <c r="C17" t="s">
        <v>34</v>
      </c>
      <c r="D17" t="s">
        <v>5</v>
      </c>
      <c r="E17" s="1">
        <v>60</v>
      </c>
    </row>
    <row r="18" spans="2:5" x14ac:dyDescent="0.35">
      <c r="B18" t="s">
        <v>35</v>
      </c>
      <c r="C18" t="s">
        <v>36</v>
      </c>
      <c r="D18" t="s">
        <v>5</v>
      </c>
      <c r="E18" s="1">
        <v>15</v>
      </c>
    </row>
    <row r="19" spans="2:5" x14ac:dyDescent="0.35">
      <c r="B19" t="s">
        <v>37</v>
      </c>
      <c r="C19" t="s">
        <v>38</v>
      </c>
      <c r="D19" t="s">
        <v>20</v>
      </c>
      <c r="E19" s="1">
        <v>20</v>
      </c>
    </row>
  </sheetData>
  <mergeCells count="1">
    <mergeCell ref="A1:F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F9902-70E4-4BB6-989D-F0F90558FB16}">
  <dimension ref="A1:H29"/>
  <sheetViews>
    <sheetView zoomScale="76" workbookViewId="0">
      <selection activeCell="H21" sqref="H21"/>
    </sheetView>
  </sheetViews>
  <sheetFormatPr defaultRowHeight="14.5" x14ac:dyDescent="0.35"/>
  <cols>
    <col min="1" max="1" width="15.1796875" customWidth="1"/>
    <col min="2" max="2" width="15.36328125" customWidth="1"/>
    <col min="3" max="3" width="16.54296875" customWidth="1"/>
    <col min="4" max="4" width="22.81640625" customWidth="1"/>
    <col min="5" max="5" width="14.1796875" customWidth="1"/>
    <col min="6" max="6" width="15.54296875" customWidth="1"/>
    <col min="7" max="7" width="14.36328125" customWidth="1"/>
    <col min="8" max="8" width="13.7265625" customWidth="1"/>
  </cols>
  <sheetData>
    <row r="1" spans="1:8" ht="21" x14ac:dyDescent="0.5">
      <c r="A1" s="8" t="s">
        <v>83</v>
      </c>
      <c r="B1" s="8"/>
      <c r="C1" s="8"/>
      <c r="D1" s="8"/>
      <c r="E1" s="8"/>
      <c r="F1" s="8"/>
      <c r="G1" s="8"/>
      <c r="H1" s="8"/>
    </row>
    <row r="3" spans="1:8" x14ac:dyDescent="0.35">
      <c r="A3" t="s">
        <v>40</v>
      </c>
      <c r="B3" t="s">
        <v>41</v>
      </c>
      <c r="C3" t="s">
        <v>0</v>
      </c>
      <c r="D3" t="s">
        <v>1</v>
      </c>
      <c r="E3" t="s">
        <v>2</v>
      </c>
      <c r="F3" t="s">
        <v>39</v>
      </c>
      <c r="G3" t="s">
        <v>42</v>
      </c>
      <c r="H3" t="s">
        <v>43</v>
      </c>
    </row>
    <row r="4" spans="1:8" x14ac:dyDescent="0.35">
      <c r="A4" t="s">
        <v>44</v>
      </c>
      <c r="B4" t="s">
        <v>45</v>
      </c>
      <c r="C4" t="s">
        <v>8</v>
      </c>
      <c r="D4" t="str">
        <f>_xlfn.XLOOKUP(C4,Product!$B$5:$B$19,Product!$C$5:$C$19)</f>
        <v>24-inch Monitor</v>
      </c>
      <c r="E4" t="str">
        <f>_xlfn.XLOOKUP(C4,Product!$B$5:$B$19,Product!$D$5:$D$19)</f>
        <v>Monitors</v>
      </c>
      <c r="F4" s="1">
        <f>_xlfn.XLOOKUP(C4,Product!$B$5:$B$19,Product!$E$5:$E$19)</f>
        <v>180</v>
      </c>
      <c r="G4">
        <v>2</v>
      </c>
      <c r="H4" s="1">
        <f>Table2[[#This Row],[Unit Price($)]]*Table2[[#This Row],[Quantity]]</f>
        <v>360</v>
      </c>
    </row>
    <row r="5" spans="1:8" x14ac:dyDescent="0.35">
      <c r="A5" t="s">
        <v>46</v>
      </c>
      <c r="B5" t="s">
        <v>47</v>
      </c>
      <c r="C5" t="s">
        <v>21</v>
      </c>
      <c r="D5" t="str">
        <f>_xlfn.XLOOKUP(C5,Product!$B$5:$B$19,Product!$C$5:$C$19)</f>
        <v>Bluetooth Speaker</v>
      </c>
      <c r="E5" t="str">
        <f>_xlfn.XLOOKUP(C5,Product!$B$5:$B$19,Product!$D$5:$D$19)</f>
        <v>Audio</v>
      </c>
      <c r="F5" s="1">
        <f>_xlfn.XLOOKUP(C5,Product!$B$5:$B$19,Product!$E$5:$E$19)</f>
        <v>95</v>
      </c>
      <c r="G5">
        <v>1</v>
      </c>
      <c r="H5" s="1">
        <f>Table2[[#This Row],[Unit Price($)]]*Table2[[#This Row],[Quantity]]</f>
        <v>95</v>
      </c>
    </row>
    <row r="6" spans="1:8" x14ac:dyDescent="0.35">
      <c r="A6" t="s">
        <v>48</v>
      </c>
      <c r="B6" t="s">
        <v>49</v>
      </c>
      <c r="C6" t="s">
        <v>3</v>
      </c>
      <c r="D6" t="str">
        <f>_xlfn.XLOOKUP(C6,Product!$B$5:$B$19,Product!$C$5:$C$19)</f>
        <v>Wireless Mouse</v>
      </c>
      <c r="E6" t="str">
        <f>_xlfn.XLOOKUP(C6,Product!$B$5:$B$19,Product!$D$5:$D$19)</f>
        <v>Accessories</v>
      </c>
      <c r="F6" s="1">
        <f>_xlfn.XLOOKUP(C6,Product!$B$5:$B$19,Product!$E$5:$E$19)</f>
        <v>25</v>
      </c>
      <c r="G6">
        <v>4</v>
      </c>
      <c r="H6" s="1">
        <f>Table2[[#This Row],[Unit Price($)]]*Table2[[#This Row],[Quantity]]</f>
        <v>100</v>
      </c>
    </row>
    <row r="7" spans="1:8" x14ac:dyDescent="0.35">
      <c r="A7" t="s">
        <v>50</v>
      </c>
      <c r="B7" t="s">
        <v>51</v>
      </c>
      <c r="C7" t="s">
        <v>26</v>
      </c>
      <c r="D7" t="str">
        <f>_xlfn.XLOOKUP(C7,Product!$B$5:$B$19,Product!$C$5:$C$19)</f>
        <v>Portable Hard Drive</v>
      </c>
      <c r="E7" t="str">
        <f>_xlfn.XLOOKUP(C7,Product!$B$5:$B$19,Product!$D$5:$D$19)</f>
        <v>Storage</v>
      </c>
      <c r="F7" s="1">
        <f>_xlfn.XLOOKUP(C7,Product!$B$5:$B$19,Product!$E$5:$E$19)</f>
        <v>90</v>
      </c>
      <c r="G7">
        <v>2</v>
      </c>
      <c r="H7" s="1">
        <f>Table2[[#This Row],[Unit Price($)]]*Table2[[#This Row],[Quantity]]</f>
        <v>180</v>
      </c>
    </row>
    <row r="8" spans="1:8" x14ac:dyDescent="0.35">
      <c r="A8" t="s">
        <v>52</v>
      </c>
      <c r="B8" t="s">
        <v>53</v>
      </c>
      <c r="C8" t="s">
        <v>16</v>
      </c>
      <c r="D8" t="str">
        <f>_xlfn.XLOOKUP(C8,Product!$B$5:$B$19,Product!$C$5:$C$19)</f>
        <v>Webcam HD</v>
      </c>
      <c r="E8" t="str">
        <f>_xlfn.XLOOKUP(C8,Product!$B$5:$B$19,Product!$D$5:$D$19)</f>
        <v>Accessories</v>
      </c>
      <c r="F8" s="1">
        <f>_xlfn.XLOOKUP(C8,Product!$B$5:$B$19,Product!$E$5:$E$19)</f>
        <v>55</v>
      </c>
      <c r="G8">
        <v>3</v>
      </c>
      <c r="H8" s="1">
        <f>Table2[[#This Row],[Unit Price($)]]*Table2[[#This Row],[Quantity]]</f>
        <v>165</v>
      </c>
    </row>
    <row r="9" spans="1:8" x14ac:dyDescent="0.35">
      <c r="A9" t="s">
        <v>54</v>
      </c>
      <c r="B9" t="s">
        <v>55</v>
      </c>
      <c r="C9" t="s">
        <v>37</v>
      </c>
      <c r="D9" t="str">
        <f>_xlfn.XLOOKUP(C9,Product!$B$5:$B$19,Product!$C$5:$C$19)</f>
        <v>Ergonomic Mouse Pad</v>
      </c>
      <c r="E9" t="str">
        <f>_xlfn.XLOOKUP(C9,Product!$B$5:$B$19,Product!$D$5:$D$19)</f>
        <v>Office</v>
      </c>
      <c r="F9" s="1">
        <f>_xlfn.XLOOKUP(C9,Product!$B$5:$B$19,Product!$E$5:$E$19)</f>
        <v>20</v>
      </c>
      <c r="G9">
        <v>5</v>
      </c>
      <c r="H9" s="1">
        <f>Table2[[#This Row],[Unit Price($)]]*Table2[[#This Row],[Quantity]]</f>
        <v>100</v>
      </c>
    </row>
    <row r="10" spans="1:8" x14ac:dyDescent="0.35">
      <c r="A10" t="s">
        <v>56</v>
      </c>
      <c r="B10" t="s">
        <v>57</v>
      </c>
      <c r="C10" t="s">
        <v>28</v>
      </c>
      <c r="D10" t="str">
        <f>_xlfn.XLOOKUP(C10,Product!$B$5:$B$19,Product!$C$5:$C$19)</f>
        <v>Office Chair</v>
      </c>
      <c r="E10" t="str">
        <f>_xlfn.XLOOKUP(C10,Product!$B$5:$B$19,Product!$D$5:$D$19)</f>
        <v>Furniture</v>
      </c>
      <c r="F10" s="1">
        <f>_xlfn.XLOOKUP(C10,Product!$B$5:$B$19,Product!$E$5:$E$19)</f>
        <v>250</v>
      </c>
      <c r="G10">
        <v>1</v>
      </c>
      <c r="H10" s="1">
        <f>Table2[[#This Row],[Unit Price($)]]*Table2[[#This Row],[Quantity]]</f>
        <v>250</v>
      </c>
    </row>
    <row r="11" spans="1:8" x14ac:dyDescent="0.35">
      <c r="A11" t="s">
        <v>58</v>
      </c>
      <c r="B11" t="s">
        <v>59</v>
      </c>
      <c r="C11" t="s">
        <v>13</v>
      </c>
      <c r="D11" t="str">
        <f>_xlfn.XLOOKUP(C11,Product!$B$5:$B$19,Product!$C$5:$C$19)</f>
        <v>External SSD</v>
      </c>
      <c r="E11" t="str">
        <f>_xlfn.XLOOKUP(C11,Product!$B$5:$B$19,Product!$D$5:$D$19)</f>
        <v>Storage</v>
      </c>
      <c r="F11" s="1">
        <f>_xlfn.XLOOKUP(C11,Product!$B$5:$B$19,Product!$E$5:$E$19)</f>
        <v>120</v>
      </c>
      <c r="G11">
        <v>2</v>
      </c>
      <c r="H11" s="1">
        <f>Table2[[#This Row],[Unit Price($)]]*Table2[[#This Row],[Quantity]]</f>
        <v>240</v>
      </c>
    </row>
    <row r="12" spans="1:8" x14ac:dyDescent="0.35">
      <c r="A12" t="s">
        <v>60</v>
      </c>
      <c r="B12" t="s">
        <v>61</v>
      </c>
      <c r="C12" t="s">
        <v>11</v>
      </c>
      <c r="D12" t="str">
        <f>_xlfn.XLOOKUP(C12,Product!$B$5:$B$19,Product!$C$5:$C$19)</f>
        <v>USB-C Hub</v>
      </c>
      <c r="E12" t="str">
        <f>_xlfn.XLOOKUP(C12,Product!$B$5:$B$19,Product!$D$5:$D$19)</f>
        <v>Accessories</v>
      </c>
      <c r="F12" s="1">
        <f>_xlfn.XLOOKUP(C12,Product!$B$5:$B$19,Product!$E$5:$E$19)</f>
        <v>40</v>
      </c>
      <c r="G12">
        <v>6</v>
      </c>
      <c r="H12" s="1">
        <f>Table2[[#This Row],[Unit Price($)]]*Table2[[#This Row],[Quantity]]</f>
        <v>240</v>
      </c>
    </row>
    <row r="13" spans="1:8" x14ac:dyDescent="0.35">
      <c r="A13" t="s">
        <v>62</v>
      </c>
      <c r="B13" t="s">
        <v>63</v>
      </c>
      <c r="C13" t="s">
        <v>33</v>
      </c>
      <c r="D13" t="str">
        <f>_xlfn.XLOOKUP(C13,Product!$B$5:$B$19,Product!$C$5:$C$19)</f>
        <v>Power Bank</v>
      </c>
      <c r="E13" t="str">
        <f>_xlfn.XLOOKUP(C13,Product!$B$5:$B$19,Product!$D$5:$D$19)</f>
        <v>Accessories</v>
      </c>
      <c r="F13" s="1">
        <f>_xlfn.XLOOKUP(C13,Product!$B$5:$B$19,Product!$E$5:$E$19)</f>
        <v>60</v>
      </c>
      <c r="G13">
        <v>3</v>
      </c>
      <c r="H13" s="1">
        <f>Table2[[#This Row],[Unit Price($)]]*Table2[[#This Row],[Quantity]]</f>
        <v>180</v>
      </c>
    </row>
    <row r="14" spans="1:8" x14ac:dyDescent="0.35">
      <c r="A14" t="s">
        <v>64</v>
      </c>
      <c r="B14" t="s">
        <v>65</v>
      </c>
      <c r="C14" t="s">
        <v>24</v>
      </c>
      <c r="D14" t="str">
        <f>_xlfn.XLOOKUP(C14,Product!$B$5:$B$19,Product!$C$5:$C$19)</f>
        <v>Gaming Headset</v>
      </c>
      <c r="E14" t="str">
        <f>_xlfn.XLOOKUP(C14,Product!$B$5:$B$19,Product!$D$5:$D$19)</f>
        <v>Audio</v>
      </c>
      <c r="F14" s="1">
        <f>_xlfn.XLOOKUP(C14,Product!$B$5:$B$19,Product!$E$5:$E$19)</f>
        <v>110</v>
      </c>
      <c r="G14">
        <v>2</v>
      </c>
      <c r="H14" s="1">
        <f>Table2[[#This Row],[Unit Price($)]]*Table2[[#This Row],[Quantity]]</f>
        <v>220</v>
      </c>
    </row>
    <row r="15" spans="1:8" x14ac:dyDescent="0.35">
      <c r="A15" t="s">
        <v>66</v>
      </c>
      <c r="B15" t="s">
        <v>67</v>
      </c>
      <c r="C15" t="s">
        <v>31</v>
      </c>
      <c r="D15" t="str">
        <f>_xlfn.XLOOKUP(C15,Product!$B$5:$B$19,Product!$C$5:$C$19)</f>
        <v>Desk Lamp</v>
      </c>
      <c r="E15" t="str">
        <f>_xlfn.XLOOKUP(C15,Product!$B$5:$B$19,Product!$D$5:$D$19)</f>
        <v>Furniture</v>
      </c>
      <c r="F15" s="1">
        <f>_xlfn.XLOOKUP(C15,Product!$B$5:$B$19,Product!$E$5:$E$19)</f>
        <v>45</v>
      </c>
      <c r="G15">
        <v>4</v>
      </c>
      <c r="H15" s="1">
        <f>Table2[[#This Row],[Unit Price($)]]*Table2[[#This Row],[Quantity]]</f>
        <v>180</v>
      </c>
    </row>
    <row r="16" spans="1:8" x14ac:dyDescent="0.35">
      <c r="A16" t="s">
        <v>68</v>
      </c>
      <c r="B16" t="s">
        <v>69</v>
      </c>
      <c r="C16" t="s">
        <v>35</v>
      </c>
      <c r="D16" t="str">
        <f>_xlfn.XLOOKUP(C16,Product!$B$5:$B$19,Product!$C$5:$C$19)</f>
        <v>HDMI Cable</v>
      </c>
      <c r="E16" t="str">
        <f>_xlfn.XLOOKUP(C16,Product!$B$5:$B$19,Product!$D$5:$D$19)</f>
        <v>Accessories</v>
      </c>
      <c r="F16" s="1">
        <f>_xlfn.XLOOKUP(C16,Product!$B$5:$B$19,Product!$E$5:$E$19)</f>
        <v>15</v>
      </c>
      <c r="G16">
        <v>8</v>
      </c>
      <c r="H16" s="1">
        <f>Table2[[#This Row],[Unit Price($)]]*Table2[[#This Row],[Quantity]]</f>
        <v>120</v>
      </c>
    </row>
    <row r="17" spans="1:8" x14ac:dyDescent="0.35">
      <c r="A17" t="s">
        <v>70</v>
      </c>
      <c r="B17" t="s">
        <v>71</v>
      </c>
      <c r="C17" t="s">
        <v>18</v>
      </c>
      <c r="D17" t="str">
        <f>_xlfn.XLOOKUP(C17,Product!$B$5:$B$19,Product!$C$5:$C$19)</f>
        <v>Laptop Stand</v>
      </c>
      <c r="E17" t="str">
        <f>_xlfn.XLOOKUP(C17,Product!$B$5:$B$19,Product!$D$5:$D$19)</f>
        <v>Office</v>
      </c>
      <c r="F17" s="1">
        <f>_xlfn.XLOOKUP(C17,Product!$B$5:$B$19,Product!$E$5:$E$19)</f>
        <v>35</v>
      </c>
      <c r="G17">
        <v>2</v>
      </c>
      <c r="H17" s="1">
        <f>Table2[[#This Row],[Unit Price($)]]*Table2[[#This Row],[Quantity]]</f>
        <v>70</v>
      </c>
    </row>
    <row r="18" spans="1:8" x14ac:dyDescent="0.35">
      <c r="A18" t="s">
        <v>72</v>
      </c>
      <c r="B18" t="s">
        <v>73</v>
      </c>
      <c r="C18" t="s">
        <v>6</v>
      </c>
      <c r="D18" t="str">
        <f>_xlfn.XLOOKUP(C18,Product!$B$5:$B$19,Product!$C$5:$C$19)</f>
        <v>Mechanical Keyboard</v>
      </c>
      <c r="E18" t="str">
        <f>_xlfn.XLOOKUP(C18,Product!$B$5:$B$19,Product!$D$5:$D$19)</f>
        <v>Accessories</v>
      </c>
      <c r="F18" s="1">
        <f>_xlfn.XLOOKUP(C18,Product!$B$5:$B$19,Product!$E$5:$E$19)</f>
        <v>80</v>
      </c>
      <c r="G18">
        <v>1</v>
      </c>
      <c r="H18" s="1">
        <f>Table2[[#This Row],[Unit Price($)]]*Table2[[#This Row],[Quantity]]</f>
        <v>80</v>
      </c>
    </row>
    <row r="19" spans="1:8" x14ac:dyDescent="0.35">
      <c r="A19" t="s">
        <v>84</v>
      </c>
      <c r="B19" t="s">
        <v>85</v>
      </c>
      <c r="C19" t="s">
        <v>21</v>
      </c>
      <c r="D19" t="str">
        <f>_xlfn.XLOOKUP(C19,Product!$B$5:$B$19,Product!$C$5:$C$19)</f>
        <v>Bluetooth Speaker</v>
      </c>
      <c r="E19" t="str">
        <f>_xlfn.XLOOKUP(C19,Product!$B$5:$B$19,Product!$D$5:$D$19)</f>
        <v>Audio</v>
      </c>
      <c r="F19" s="1">
        <f>_xlfn.XLOOKUP(C19,Product!$B$5:$B$19,Product!$E$5:$E$19)</f>
        <v>95</v>
      </c>
      <c r="G19">
        <v>10</v>
      </c>
      <c r="H19" s="1">
        <f>Table2[[#This Row],[Unit Price($)]]*Table2[[#This Row],[Quantity]]</f>
        <v>950</v>
      </c>
    </row>
    <row r="20" spans="1:8" x14ac:dyDescent="0.35">
      <c r="A20" t="s">
        <v>91</v>
      </c>
      <c r="B20" t="s">
        <v>45</v>
      </c>
      <c r="C20" t="s">
        <v>26</v>
      </c>
      <c r="D20" t="str">
        <f>_xlfn.XLOOKUP(C20,Product!$B$5:$B$19,Product!$C$5:$C$19)</f>
        <v>Portable Hard Drive</v>
      </c>
      <c r="E20" t="str">
        <f>_xlfn.XLOOKUP(C20,Product!$B$5:$B$19,Product!$D$5:$D$19)</f>
        <v>Storage</v>
      </c>
      <c r="F20" s="1">
        <f>_xlfn.XLOOKUP(C20,Product!$B$5:$B$19,Product!$E$5:$E$19)</f>
        <v>90</v>
      </c>
      <c r="G20">
        <v>2</v>
      </c>
      <c r="H20" s="1">
        <f>Table2[[#This Row],[Unit Price($)]]*Table2[[#This Row],[Quantity]]</f>
        <v>180</v>
      </c>
    </row>
    <row r="22" spans="1:8" x14ac:dyDescent="0.35">
      <c r="D22" t="s">
        <v>74</v>
      </c>
      <c r="E22" t="s">
        <v>75</v>
      </c>
    </row>
    <row r="23" spans="1:8" x14ac:dyDescent="0.35">
      <c r="D23" t="s">
        <v>76</v>
      </c>
      <c r="E23" s="1">
        <f>SUM(Table2[Total])</f>
        <v>3710</v>
      </c>
    </row>
    <row r="24" spans="1:8" x14ac:dyDescent="0.35">
      <c r="D24" t="s">
        <v>77</v>
      </c>
      <c r="E24" s="5">
        <f>COUNTA(Table2[Order ID])</f>
        <v>17</v>
      </c>
    </row>
    <row r="25" spans="1:8" x14ac:dyDescent="0.35">
      <c r="D25" t="s">
        <v>78</v>
      </c>
      <c r="E25" s="1">
        <f>SUMIFS($H$4:$H$20,$E$4:$E$20,"Accessories")</f>
        <v>885</v>
      </c>
    </row>
    <row r="26" spans="1:8" x14ac:dyDescent="0.35">
      <c r="D26" t="s">
        <v>79</v>
      </c>
      <c r="E26" s="1">
        <f>SUMIFS($H$4:$H$20,$E$4:$E$20,"Audio")</f>
        <v>1265</v>
      </c>
    </row>
    <row r="27" spans="1:8" x14ac:dyDescent="0.35">
      <c r="D27" t="s">
        <v>80</v>
      </c>
      <c r="E27" s="1">
        <f>SUMIFS($H$4:$H$20,$E$4:$E$20,"Storage")</f>
        <v>600</v>
      </c>
    </row>
    <row r="28" spans="1:8" x14ac:dyDescent="0.35">
      <c r="D28" t="s">
        <v>81</v>
      </c>
      <c r="E28" s="1">
        <f>SUMIFS($H$4:$H$20,$E$4:$E$20,"Office")</f>
        <v>170</v>
      </c>
    </row>
    <row r="29" spans="1:8" x14ac:dyDescent="0.35">
      <c r="D29" t="s">
        <v>82</v>
      </c>
      <c r="E29" s="1">
        <f>SUMIFS($H$4:$H$20,$E$4:$E$20,"Furniture")</f>
        <v>430</v>
      </c>
    </row>
  </sheetData>
  <mergeCells count="1">
    <mergeCell ref="A1:H1"/>
  </mergeCells>
  <conditionalFormatting sqref="H4:H20">
    <cfRule type="cellIs" dxfId="2" priority="1" operator="between">
      <formula>100</formula>
      <formula>300</formula>
    </cfRule>
    <cfRule type="cellIs" dxfId="1" priority="2" operator="lessThan">
      <formula>100</formula>
    </cfRule>
    <cfRule type="cellIs" dxfId="0" priority="3" operator="greaterThan">
      <formula>300</formula>
    </cfRule>
  </conditionalFormatting>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B1BBFA8-0683-4AE2-ABFB-21ECEAC592B1}">
          <x14:formula1>
            <xm:f>Product!$B$5:$B$19</xm:f>
          </x14:formula1>
          <xm:sqref>C4:C20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0F46D-064E-481C-AB1F-942494A045CD}">
  <dimension ref="A3:E19"/>
  <sheetViews>
    <sheetView zoomScale="108" workbookViewId="0">
      <selection activeCell="A3" sqref="A3"/>
    </sheetView>
  </sheetViews>
  <sheetFormatPr defaultRowHeight="14.5" x14ac:dyDescent="0.35"/>
  <cols>
    <col min="1" max="1" width="12.453125" bestFit="1" customWidth="1"/>
    <col min="2" max="2" width="11.08984375" bestFit="1" customWidth="1"/>
    <col min="4" max="4" width="12.453125" bestFit="1" customWidth="1"/>
    <col min="5" max="5" width="11.08984375" bestFit="1" customWidth="1"/>
    <col min="6" max="6" width="7.6328125" bestFit="1" customWidth="1"/>
    <col min="7" max="18" width="8.6328125" bestFit="1" customWidth="1"/>
    <col min="19" max="19" width="10.1796875" bestFit="1" customWidth="1"/>
    <col min="20" max="20" width="10.36328125" bestFit="1" customWidth="1"/>
  </cols>
  <sheetData>
    <row r="3" spans="1:5" x14ac:dyDescent="0.35">
      <c r="A3" s="2" t="s">
        <v>86</v>
      </c>
      <c r="B3" t="s">
        <v>88</v>
      </c>
      <c r="D3" s="2" t="s">
        <v>86</v>
      </c>
      <c r="E3" t="s">
        <v>88</v>
      </c>
    </row>
    <row r="4" spans="1:5" x14ac:dyDescent="0.35">
      <c r="A4" s="3" t="s">
        <v>5</v>
      </c>
      <c r="B4" s="4">
        <v>885</v>
      </c>
      <c r="D4" s="3" t="s">
        <v>3</v>
      </c>
      <c r="E4" s="4">
        <v>100</v>
      </c>
    </row>
    <row r="5" spans="1:5" x14ac:dyDescent="0.35">
      <c r="A5" s="3" t="s">
        <v>23</v>
      </c>
      <c r="B5" s="4">
        <v>1265</v>
      </c>
      <c r="D5" s="3" t="s">
        <v>6</v>
      </c>
      <c r="E5" s="4">
        <v>80</v>
      </c>
    </row>
    <row r="6" spans="1:5" x14ac:dyDescent="0.35">
      <c r="A6" s="3" t="s">
        <v>30</v>
      </c>
      <c r="B6" s="4">
        <v>430</v>
      </c>
      <c r="D6" s="3" t="s">
        <v>8</v>
      </c>
      <c r="E6" s="4">
        <v>360</v>
      </c>
    </row>
    <row r="7" spans="1:5" x14ac:dyDescent="0.35">
      <c r="A7" s="3" t="s">
        <v>10</v>
      </c>
      <c r="B7" s="4">
        <v>360</v>
      </c>
      <c r="D7" s="3" t="s">
        <v>11</v>
      </c>
      <c r="E7" s="4">
        <v>240</v>
      </c>
    </row>
    <row r="8" spans="1:5" x14ac:dyDescent="0.35">
      <c r="A8" s="3" t="s">
        <v>20</v>
      </c>
      <c r="B8" s="4">
        <v>170</v>
      </c>
      <c r="D8" s="3" t="s">
        <v>13</v>
      </c>
      <c r="E8" s="4">
        <v>240</v>
      </c>
    </row>
    <row r="9" spans="1:5" x14ac:dyDescent="0.35">
      <c r="A9" s="3" t="s">
        <v>15</v>
      </c>
      <c r="B9" s="4">
        <v>600</v>
      </c>
      <c r="D9" s="3" t="s">
        <v>16</v>
      </c>
      <c r="E9" s="4">
        <v>165</v>
      </c>
    </row>
    <row r="10" spans="1:5" x14ac:dyDescent="0.35">
      <c r="A10" s="3" t="s">
        <v>87</v>
      </c>
      <c r="B10" s="4">
        <v>3710</v>
      </c>
      <c r="D10" s="3" t="s">
        <v>18</v>
      </c>
      <c r="E10" s="4">
        <v>70</v>
      </c>
    </row>
    <row r="11" spans="1:5" x14ac:dyDescent="0.35">
      <c r="A11" s="3"/>
      <c r="D11" s="3" t="s">
        <v>21</v>
      </c>
      <c r="E11" s="4">
        <v>1045</v>
      </c>
    </row>
    <row r="12" spans="1:5" x14ac:dyDescent="0.35">
      <c r="A12" s="3"/>
      <c r="D12" s="3" t="s">
        <v>24</v>
      </c>
      <c r="E12" s="4">
        <v>220</v>
      </c>
    </row>
    <row r="13" spans="1:5" x14ac:dyDescent="0.35">
      <c r="D13" s="3" t="s">
        <v>26</v>
      </c>
      <c r="E13" s="4">
        <v>360</v>
      </c>
    </row>
    <row r="14" spans="1:5" x14ac:dyDescent="0.35">
      <c r="D14" s="3" t="s">
        <v>28</v>
      </c>
      <c r="E14" s="4">
        <v>250</v>
      </c>
    </row>
    <row r="15" spans="1:5" x14ac:dyDescent="0.35">
      <c r="D15" s="3" t="s">
        <v>31</v>
      </c>
      <c r="E15" s="4">
        <v>180</v>
      </c>
    </row>
    <row r="16" spans="1:5" x14ac:dyDescent="0.35">
      <c r="D16" s="3" t="s">
        <v>33</v>
      </c>
      <c r="E16" s="4">
        <v>180</v>
      </c>
    </row>
    <row r="17" spans="4:5" x14ac:dyDescent="0.35">
      <c r="D17" s="3" t="s">
        <v>35</v>
      </c>
      <c r="E17" s="4">
        <v>120</v>
      </c>
    </row>
    <row r="18" spans="4:5" x14ac:dyDescent="0.35">
      <c r="D18" s="3" t="s">
        <v>37</v>
      </c>
      <c r="E18" s="4">
        <v>100</v>
      </c>
    </row>
    <row r="19" spans="4:5" x14ac:dyDescent="0.35">
      <c r="D19" s="3" t="s">
        <v>87</v>
      </c>
      <c r="E19" s="4">
        <v>3710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BC94-648A-4B23-8D56-A20B22E69ECD}">
  <dimension ref="A1:N4"/>
  <sheetViews>
    <sheetView tabSelected="1" zoomScale="75" workbookViewId="0">
      <selection activeCell="H5" sqref="H5"/>
    </sheetView>
  </sheetViews>
  <sheetFormatPr defaultRowHeight="14.5" x14ac:dyDescent="0.35"/>
  <cols>
    <col min="2" max="2" width="12.90625" customWidth="1"/>
    <col min="3" max="3" width="13.81640625" customWidth="1"/>
    <col min="4" max="4" width="20.81640625" customWidth="1"/>
    <col min="6" max="6" width="14.7265625" customWidth="1"/>
    <col min="7" max="7" width="15.81640625" customWidth="1"/>
    <col min="8" max="8" width="18.81640625" customWidth="1"/>
  </cols>
  <sheetData>
    <row r="1" spans="1:14" ht="26" x14ac:dyDescent="0.6">
      <c r="A1" s="6" t="s">
        <v>89</v>
      </c>
      <c r="B1" s="7"/>
      <c r="C1" s="7"/>
      <c r="D1" s="7"/>
      <c r="E1" s="7"/>
      <c r="F1" s="7"/>
      <c r="G1" s="7"/>
      <c r="H1" s="7"/>
      <c r="I1" s="7"/>
      <c r="J1" s="7"/>
      <c r="K1" s="7"/>
      <c r="L1" s="7"/>
      <c r="M1" s="7"/>
      <c r="N1" s="7"/>
    </row>
    <row r="3" spans="1:14" x14ac:dyDescent="0.35">
      <c r="F3" t="s">
        <v>76</v>
      </c>
      <c r="G3" s="4" t="s">
        <v>77</v>
      </c>
      <c r="H3" t="s">
        <v>90</v>
      </c>
    </row>
    <row r="4" spans="1:14" x14ac:dyDescent="0.35">
      <c r="F4" s="4">
        <f>Pivot!B10</f>
        <v>3710</v>
      </c>
      <c r="G4">
        <f>COUNTA(Table2[Order ID])</f>
        <v>17</v>
      </c>
      <c r="H4" s="4">
        <f>AVERAGE(Table2[Total])</f>
        <v>218.23529411764707</v>
      </c>
    </row>
  </sheetData>
  <mergeCells count="1">
    <mergeCell ref="A1:N1"/>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vt:lpstr>
      <vt:lpstr>Orders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SUMAIYA AHMED</dc:creator>
  <cp:lastModifiedBy>SUMAIYA AHMED</cp:lastModifiedBy>
  <dcterms:created xsi:type="dcterms:W3CDTF">2026-07-27T17:44:13Z</dcterms:created>
  <dcterms:modified xsi:type="dcterms:W3CDTF">2026-08-09T20:23:00Z</dcterms:modified>
</cp:coreProperties>
</file>