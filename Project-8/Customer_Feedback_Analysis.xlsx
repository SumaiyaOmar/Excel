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35" documentId="8_{5BB73F3B-5071-4D53-8862-43990333E8FC}" xr6:coauthVersionLast="47" xr6:coauthVersionMax="47" xr10:uidLastSave="{BB62AEC6-9F24-4F94-AF9C-C8C790657F15}"/>
  <bookViews>
    <workbookView xWindow="-110" yWindow="-110" windowWidth="19420" windowHeight="12220" xr2:uid="{F17F08E3-8B9F-4C8A-A221-4237FBC71960}"/>
  </bookViews>
  <sheets>
    <sheet name="RawData" sheetId="1" r:id="rId1"/>
    <sheet name="CleanData" sheetId="2" r:id="rId2"/>
    <sheet name="Analysi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8" i="3" l="1"/>
  <c r="B13" i="3"/>
  <c r="B2" i="3" s="1"/>
  <c r="B31" i="3"/>
  <c r="B30" i="3"/>
  <c r="B29" i="3"/>
  <c r="B16" i="3"/>
  <c r="B15" i="3"/>
  <c r="B14" i="3"/>
  <c r="B3" i="3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H3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9" i="2"/>
  <c r="H40" i="2"/>
  <c r="H41" i="2"/>
  <c r="B5" i="2"/>
  <c r="B3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4" i="2"/>
  <c r="B2" i="2"/>
  <c r="B22" i="3" l="1"/>
  <c r="B6" i="3" s="1"/>
  <c r="B23" i="3"/>
  <c r="B5" i="3" s="1"/>
  <c r="B21" i="3"/>
  <c r="B4" i="3" s="1"/>
</calcChain>
</file>

<file path=xl/sharedStrings.xml><?xml version="1.0" encoding="utf-8"?>
<sst xmlns="http://schemas.openxmlformats.org/spreadsheetml/2006/main" count="418" uniqueCount="159">
  <si>
    <t>Feedback ID</t>
  </si>
  <si>
    <t>Customer Name</t>
  </si>
  <si>
    <t>Product</t>
  </si>
  <si>
    <t>Rating</t>
  </si>
  <si>
    <t>Feedback Date</t>
  </si>
  <si>
    <t>Feedback</t>
  </si>
  <si>
    <t>Response Status</t>
  </si>
  <si>
    <t>F001</t>
  </si>
  <si>
    <t>Sarah Johnson</t>
  </si>
  <si>
    <t>Laptop</t>
  </si>
  <si>
    <t>Great laptop, very fast and easy to use</t>
  </si>
  <si>
    <t>Responded</t>
  </si>
  <si>
    <t>F002</t>
  </si>
  <si>
    <t>John Smith</t>
  </si>
  <si>
    <t>Smartphone</t>
  </si>
  <si>
    <t>Battery is poor and the phone is slow</t>
  </si>
  <si>
    <t>Pending</t>
  </si>
  <si>
    <t>F003</t>
  </si>
  <si>
    <t>Maria Garcia</t>
  </si>
  <si>
    <t>Headphones</t>
  </si>
  <si>
    <t>Good sound quality and comfortable</t>
  </si>
  <si>
    <t>F004</t>
  </si>
  <si>
    <t>David Brown</t>
  </si>
  <si>
    <t>Product is okay but setup was difficult</t>
  </si>
  <si>
    <t>F005</t>
  </si>
  <si>
    <t>Emily Davis</t>
  </si>
  <si>
    <t>Excellent phone with a great camera</t>
  </si>
  <si>
    <t>F006</t>
  </si>
  <si>
    <t>Michael Wilson</t>
  </si>
  <si>
    <t>Tablet</t>
  </si>
  <si>
    <t>Screen quality is poor</t>
  </si>
  <si>
    <t>F007</t>
  </si>
  <si>
    <t>Jessica Miller</t>
  </si>
  <si>
    <t>Excellent sound and very comfortable</t>
  </si>
  <si>
    <t>F008</t>
  </si>
  <si>
    <t>Daniel Moore</t>
  </si>
  <si>
    <t>Good performance and battery life</t>
  </si>
  <si>
    <t>F009</t>
  </si>
  <si>
    <t>Olivia Taylor</t>
  </si>
  <si>
    <t>Very bad experience, phone stopped working</t>
  </si>
  <si>
    <t>F010</t>
  </si>
  <si>
    <t>James Anderson</t>
  </si>
  <si>
    <t>Good tablet for everyday use</t>
  </si>
  <si>
    <t>F011</t>
  </si>
  <si>
    <t>Sophia Thomas</t>
  </si>
  <si>
    <t>Sound is okay but could be better</t>
  </si>
  <si>
    <t>F012</t>
  </si>
  <si>
    <t>William Jackson</t>
  </si>
  <si>
    <t>Excellent performance and design</t>
  </si>
  <si>
    <t>F013</t>
  </si>
  <si>
    <t>Ava White</t>
  </si>
  <si>
    <t>Good camera and battery</t>
  </si>
  <si>
    <t>F014</t>
  </si>
  <si>
    <t>Robert Harris</t>
  </si>
  <si>
    <t>Slow performance and poor battery</t>
  </si>
  <si>
    <t>F015</t>
  </si>
  <si>
    <t>Mia Martin</t>
  </si>
  <si>
    <t>Great quality and excellent sound</t>
  </si>
  <si>
    <t>F016</t>
  </si>
  <si>
    <t>Ethan Thompson</t>
  </si>
  <si>
    <t>Average product but works well</t>
  </si>
  <si>
    <t>F017</t>
  </si>
  <si>
    <t>Isabella Garcia</t>
  </si>
  <si>
    <t>Excellent camera and fast performance</t>
  </si>
  <si>
    <t>F018</t>
  </si>
  <si>
    <t>Alexander Martinez</t>
  </si>
  <si>
    <t>Very poor quality and slow system</t>
  </si>
  <si>
    <t>F019</t>
  </si>
  <si>
    <t>Charlotte Robinson</t>
  </si>
  <si>
    <t>Good quality and comfortable</t>
  </si>
  <si>
    <t>F020</t>
  </si>
  <si>
    <t>Benjamin Clark</t>
  </si>
  <si>
    <t>Great laptop and excellent battery</t>
  </si>
  <si>
    <t>F021</t>
  </si>
  <si>
    <t>Amelia Rodriguez</t>
  </si>
  <si>
    <t>Phone is okay but camera could improve</t>
  </si>
  <si>
    <t>F022</t>
  </si>
  <si>
    <t>Lucas Lewis</t>
  </si>
  <si>
    <t>Good screen and easy to use</t>
  </si>
  <si>
    <t>F023</t>
  </si>
  <si>
    <t>Harper Lee</t>
  </si>
  <si>
    <t>Poor sound and uncomfortable</t>
  </si>
  <si>
    <t>F024</t>
  </si>
  <si>
    <t>Henry Walker</t>
  </si>
  <si>
    <t>Good performance but expensive</t>
  </si>
  <si>
    <t>F025</t>
  </si>
  <si>
    <t>Evelyn Hall</t>
  </si>
  <si>
    <t>Excellent phone and great battery</t>
  </si>
  <si>
    <t>F026</t>
  </si>
  <si>
    <t>Daniel Allen</t>
  </si>
  <si>
    <t>Average experience overall</t>
  </si>
  <si>
    <t>F027</t>
  </si>
  <si>
    <t>Abigail Young</t>
  </si>
  <si>
    <t>Great sound quality and excellent design</t>
  </si>
  <si>
    <t>F028</t>
  </si>
  <si>
    <t>Matthew King</t>
  </si>
  <si>
    <t>Slow startup and poor battery</t>
  </si>
  <si>
    <t>F029</t>
  </si>
  <si>
    <t>Ella Wright</t>
  </si>
  <si>
    <t>Good phone with a nice camera</t>
  </si>
  <si>
    <t>F030</t>
  </si>
  <si>
    <t>Sebastian Scott</t>
  </si>
  <si>
    <t>Excellent tablet, fast and reliable</t>
  </si>
  <si>
    <t>F031</t>
  </si>
  <si>
    <t>Avery Green</t>
  </si>
  <si>
    <t>Very bad sound quality</t>
  </si>
  <si>
    <t>F032</t>
  </si>
  <si>
    <t>Jack Baker</t>
  </si>
  <si>
    <t>Good laptop for work</t>
  </si>
  <si>
    <t>F033</t>
  </si>
  <si>
    <t>Lily Adams</t>
  </si>
  <si>
    <t>Excellent performance and camera</t>
  </si>
  <si>
    <t>F034</t>
  </si>
  <si>
    <t>Owen Nelson</t>
  </si>
  <si>
    <t>Poor screen and slow performance</t>
  </si>
  <si>
    <t>F035</t>
  </si>
  <si>
    <t>Grace Carter</t>
  </si>
  <si>
    <t>Good sound but slightly uncomfortable</t>
  </si>
  <si>
    <t>F036</t>
  </si>
  <si>
    <t>Samuel Mitchell</t>
  </si>
  <si>
    <t>Great design and excellent performance</t>
  </si>
  <si>
    <t>F037</t>
  </si>
  <si>
    <t>Chloe Perez</t>
  </si>
  <si>
    <t>Average phone, battery could improve</t>
  </si>
  <si>
    <t>F038</t>
  </si>
  <si>
    <t>Leo Roberts</t>
  </si>
  <si>
    <t>Good tablet and easy to use</t>
  </si>
  <si>
    <t>F039</t>
  </si>
  <si>
    <t>Zoey Turner</t>
  </si>
  <si>
    <t>Excellent sound and great comfort</t>
  </si>
  <si>
    <t>F040</t>
  </si>
  <si>
    <t>Daniel Phillips</t>
  </si>
  <si>
    <t>Poor battery and slow startup</t>
  </si>
  <si>
    <t>Sentiment</t>
  </si>
  <si>
    <t>Feedback Theme</t>
  </si>
  <si>
    <t>Customer Feedback Overveiw</t>
  </si>
  <si>
    <t>Total Feedback</t>
  </si>
  <si>
    <t>Average Rating</t>
  </si>
  <si>
    <t>Higest Rating</t>
  </si>
  <si>
    <t>Lowest Rating</t>
  </si>
  <si>
    <t>Sentiment Summary</t>
  </si>
  <si>
    <t>Count</t>
  </si>
  <si>
    <t>Positive</t>
  </si>
  <si>
    <t>Neutral</t>
  </si>
  <si>
    <t>Negative</t>
  </si>
  <si>
    <t>Product Rating Analysis</t>
  </si>
  <si>
    <t>Average</t>
  </si>
  <si>
    <t>Row Labels</t>
  </si>
  <si>
    <t>Grand Total</t>
  </si>
  <si>
    <t>Count of Feedback ID</t>
  </si>
  <si>
    <t>Average of Rating</t>
  </si>
  <si>
    <t>Customer Feedback Analysis</t>
  </si>
  <si>
    <t>Total Feedback:</t>
  </si>
  <si>
    <t>Average Rating:</t>
  </si>
  <si>
    <t>Positive Feedback:</t>
  </si>
  <si>
    <t>Neutral Feedback:</t>
  </si>
  <si>
    <t>Negative Feedback:</t>
  </si>
  <si>
    <t>Best-Rated Product:</t>
  </si>
  <si>
    <t>Lowest-Rated Product: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</si>
</sst>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0" fontId="2" fillId="0" borderId="0" xfId="0" applyFont="1"/>
    <xf numFmtId="2" fontId="2" fillId="0" borderId="0" xfId="0" applyNumberFormat="1" applyFon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iya Omar" refreshedDate="46245.948788078706" createdVersion="8" refreshedVersion="8" minRefreshableVersion="3" recordCount="40" xr:uid="{2A77CC4F-0B76-4B54-BC3F-011516120124}">
  <cacheSource type="worksheet">
    <worksheetSource name="Table13"/>
  </cacheSource>
  <cacheFields count="9">
    <cacheField name="Feedback ID" numFmtId="0">
      <sharedItems/>
    </cacheField>
    <cacheField name="Customer Name" numFmtId="0">
      <sharedItems/>
    </cacheField>
    <cacheField name="Product" numFmtId="0">
      <sharedItems count="4">
        <s v="Laptop"/>
        <s v="Smartphone"/>
        <s v="Headphones"/>
        <s v="Tablet"/>
      </sharedItems>
    </cacheField>
    <cacheField name="Rating" numFmtId="2">
      <sharedItems containsSemiMixedTypes="0" containsString="0" containsNumber="1" containsInteger="1" minValue="1" maxValue="5"/>
    </cacheField>
    <cacheField name="Feedback Date" numFmtId="14">
      <sharedItems containsSemiMixedTypes="0" containsNonDate="0" containsDate="1" containsString="0" minDate="2026-05-01T00:00:00" maxDate="2026-06-10T00:00:00"/>
    </cacheField>
    <cacheField name="Feedback" numFmtId="0">
      <sharedItems/>
    </cacheField>
    <cacheField name="Response Status" numFmtId="0">
      <sharedItems/>
    </cacheField>
    <cacheField name="Sentiment" numFmtId="0">
      <sharedItems count="3">
        <s v="Positive"/>
        <s v="Negative"/>
        <s v="Neutral"/>
      </sharedItems>
    </cacheField>
    <cacheField name="Feedback The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001"/>
    <s v="Sarah Johnson"/>
    <x v="0"/>
    <n v="5"/>
    <d v="2026-05-01T00:00:00"/>
    <s v="Great laptop, very fast and easy to use"/>
    <s v="Responded"/>
    <x v="0"/>
    <s v="Other"/>
  </r>
  <r>
    <s v="F002"/>
    <s v="John Smith"/>
    <x v="1"/>
    <n v="2"/>
    <d v="2026-05-02T00:00:00"/>
    <s v="Battery is poor and the phone is slow"/>
    <s v="Pending"/>
    <x v="1"/>
    <s v="Battery"/>
  </r>
  <r>
    <s v="F003"/>
    <s v="Maria Garcia"/>
    <x v="2"/>
    <n v="4"/>
    <d v="2026-05-03T00:00:00"/>
    <s v="Good sound quality and comfortable"/>
    <s v="Responded"/>
    <x v="0"/>
    <s v="Sound"/>
  </r>
  <r>
    <s v="F004"/>
    <s v="David Brown"/>
    <x v="0"/>
    <n v="3"/>
    <d v="2026-05-04T00:00:00"/>
    <s v="Product is okay but setup was difficult"/>
    <s v="Responded"/>
    <x v="2"/>
    <s v="Other"/>
  </r>
  <r>
    <s v="F005"/>
    <s v="Emily Davis"/>
    <x v="1"/>
    <n v="5"/>
    <d v="2026-05-05T00:00:00"/>
    <s v="Excellent phone with a great camera"/>
    <s v="Responded"/>
    <x v="0"/>
    <s v="Camera"/>
  </r>
  <r>
    <s v="F006"/>
    <s v="Michael Wilson"/>
    <x v="3"/>
    <n v="2"/>
    <d v="2026-05-06T00:00:00"/>
    <s v="Screen quality is poor"/>
    <s v="Pending"/>
    <x v="1"/>
    <s v="Screen"/>
  </r>
  <r>
    <s v="F007"/>
    <s v="Jessica Miller"/>
    <x v="2"/>
    <n v="5"/>
    <d v="2026-05-07T00:00:00"/>
    <s v="Excellent sound and very comfortable"/>
    <s v="Responded"/>
    <x v="0"/>
    <s v="Sound"/>
  </r>
  <r>
    <s v="F008"/>
    <s v="Daniel Moore"/>
    <x v="0"/>
    <n v="4"/>
    <d v="2026-05-08T00:00:00"/>
    <s v="Good performance and battery life"/>
    <s v="Responded"/>
    <x v="0"/>
    <s v="Battery"/>
  </r>
  <r>
    <s v="F009"/>
    <s v="Olivia Taylor"/>
    <x v="1"/>
    <n v="1"/>
    <d v="2026-05-09T00:00:00"/>
    <s v="Very bad experience, phone stopped working"/>
    <s v="Pending"/>
    <x v="1"/>
    <s v="Other"/>
  </r>
  <r>
    <s v="F010"/>
    <s v="James Anderson"/>
    <x v="3"/>
    <n v="4"/>
    <d v="2026-05-10T00:00:00"/>
    <s v="Good tablet for everyday use"/>
    <s v="Responded"/>
    <x v="0"/>
    <s v="Other"/>
  </r>
  <r>
    <s v="F011"/>
    <s v="Sophia Thomas"/>
    <x v="2"/>
    <n v="3"/>
    <d v="2026-05-11T00:00:00"/>
    <s v="Sound is okay but could be better"/>
    <s v="Pending"/>
    <x v="2"/>
    <s v="Sound"/>
  </r>
  <r>
    <s v="F012"/>
    <s v="William Jackson"/>
    <x v="0"/>
    <n v="5"/>
    <d v="2026-05-12T00:00:00"/>
    <s v="Excellent performance and design"/>
    <s v="Responded"/>
    <x v="0"/>
    <s v="Performance"/>
  </r>
  <r>
    <s v="F013"/>
    <s v="Ava White"/>
    <x v="1"/>
    <n v="4"/>
    <d v="2026-05-13T00:00:00"/>
    <s v="Good camera and battery"/>
    <s v="Responded"/>
    <x v="0"/>
    <s v="Battery"/>
  </r>
  <r>
    <s v="F014"/>
    <s v="Robert Harris"/>
    <x v="3"/>
    <n v="2"/>
    <d v="2026-05-14T00:00:00"/>
    <s v="Slow performance and poor battery"/>
    <s v="Pending"/>
    <x v="1"/>
    <s v="Battery"/>
  </r>
  <r>
    <s v="F015"/>
    <s v="Mia Martin"/>
    <x v="2"/>
    <n v="5"/>
    <d v="2026-05-15T00:00:00"/>
    <s v="Great quality and excellent sound"/>
    <s v="Responded"/>
    <x v="0"/>
    <s v="Sound"/>
  </r>
  <r>
    <s v="F016"/>
    <s v="Ethan Thompson"/>
    <x v="0"/>
    <n v="3"/>
    <d v="2026-05-16T00:00:00"/>
    <s v="Average product but works well"/>
    <s v="Responded"/>
    <x v="2"/>
    <s v="Other"/>
  </r>
  <r>
    <s v="F017"/>
    <s v="Isabella Garcia"/>
    <x v="1"/>
    <n v="5"/>
    <d v="2026-05-17T00:00:00"/>
    <s v="Excellent camera and fast performance"/>
    <s v="Responded"/>
    <x v="0"/>
    <s v="Camera"/>
  </r>
  <r>
    <s v="F018"/>
    <s v="Alexander Martinez"/>
    <x v="3"/>
    <n v="1"/>
    <d v="2026-05-18T00:00:00"/>
    <s v="Very poor quality and slow system"/>
    <s v="Pending"/>
    <x v="1"/>
    <s v="Other"/>
  </r>
  <r>
    <s v="F019"/>
    <s v="Charlotte Robinson"/>
    <x v="2"/>
    <n v="4"/>
    <d v="2026-05-19T00:00:00"/>
    <s v="Good quality and comfortable"/>
    <s v="Responded"/>
    <x v="0"/>
    <s v="Comfort"/>
  </r>
  <r>
    <s v="F020"/>
    <s v="Benjamin Clark"/>
    <x v="0"/>
    <n v="5"/>
    <d v="2026-05-20T00:00:00"/>
    <s v="Great laptop and excellent battery"/>
    <s v="Responded"/>
    <x v="0"/>
    <s v="Battery"/>
  </r>
  <r>
    <s v="F021"/>
    <s v="Amelia Rodriguez"/>
    <x v="1"/>
    <n v="3"/>
    <d v="2026-05-21T00:00:00"/>
    <s v="Phone is okay but camera could improve"/>
    <s v="Pending"/>
    <x v="2"/>
    <s v="Camera"/>
  </r>
  <r>
    <s v="F022"/>
    <s v="Lucas Lewis"/>
    <x v="3"/>
    <n v="4"/>
    <d v="2026-05-22T00:00:00"/>
    <s v="Good screen and easy to use"/>
    <s v="Responded"/>
    <x v="0"/>
    <s v="Screen"/>
  </r>
  <r>
    <s v="F023"/>
    <s v="Harper Lee"/>
    <x v="2"/>
    <n v="2"/>
    <d v="2026-05-23T00:00:00"/>
    <s v="Poor sound and uncomfortable"/>
    <s v="Pending"/>
    <x v="1"/>
    <s v="Sound"/>
  </r>
  <r>
    <s v="F024"/>
    <s v="Henry Walker"/>
    <x v="0"/>
    <n v="4"/>
    <d v="2026-05-24T00:00:00"/>
    <s v="Good performance but expensive"/>
    <s v="Responded"/>
    <x v="0"/>
    <s v="Performance"/>
  </r>
  <r>
    <s v="F025"/>
    <s v="Evelyn Hall"/>
    <x v="1"/>
    <n v="5"/>
    <d v="2026-05-25T00:00:00"/>
    <s v="Excellent phone and great battery"/>
    <s v="Responded"/>
    <x v="0"/>
    <s v="Battery"/>
  </r>
  <r>
    <s v="F026"/>
    <s v="Daniel Allen"/>
    <x v="3"/>
    <n v="3"/>
    <d v="2026-05-26T00:00:00"/>
    <s v="Average experience overall"/>
    <s v="Responded"/>
    <x v="2"/>
    <s v="Other"/>
  </r>
  <r>
    <s v="F027"/>
    <s v="Abigail Young"/>
    <x v="2"/>
    <n v="5"/>
    <d v="2026-05-27T00:00:00"/>
    <s v="Great sound quality and excellent design"/>
    <s v="Responded"/>
    <x v="0"/>
    <s v="Sound"/>
  </r>
  <r>
    <s v="F028"/>
    <s v="Matthew King"/>
    <x v="0"/>
    <n v="2"/>
    <d v="2026-05-28T00:00:00"/>
    <s v="Slow startup and poor battery"/>
    <s v="Pending"/>
    <x v="1"/>
    <s v="Battery"/>
  </r>
  <r>
    <s v="F029"/>
    <s v="Ella Wright"/>
    <x v="1"/>
    <n v="4"/>
    <d v="2026-05-29T00:00:00"/>
    <s v="Good phone with a nice camera"/>
    <s v="Responded"/>
    <x v="0"/>
    <s v="Camera"/>
  </r>
  <r>
    <s v="F030"/>
    <s v="Sebastian Scott"/>
    <x v="3"/>
    <n v="5"/>
    <d v="2026-05-30T00:00:00"/>
    <s v="Excellent tablet, fast and reliable"/>
    <s v="Responded"/>
    <x v="0"/>
    <s v="Other"/>
  </r>
  <r>
    <s v="F031"/>
    <s v="Avery Green"/>
    <x v="2"/>
    <n v="1"/>
    <d v="2026-05-31T00:00:00"/>
    <s v="Very bad sound quality"/>
    <s v="Pending"/>
    <x v="1"/>
    <s v="Sound"/>
  </r>
  <r>
    <s v="F032"/>
    <s v="Jack Baker"/>
    <x v="0"/>
    <n v="4"/>
    <d v="2026-06-01T00:00:00"/>
    <s v="Good laptop for work"/>
    <s v="Responded"/>
    <x v="0"/>
    <s v="Other"/>
  </r>
  <r>
    <s v="F033"/>
    <s v="Lily Adams"/>
    <x v="1"/>
    <n v="5"/>
    <d v="2026-06-02T00:00:00"/>
    <s v="Excellent performance and camera"/>
    <s v="Responded"/>
    <x v="0"/>
    <s v="Camera"/>
  </r>
  <r>
    <s v="F034"/>
    <s v="Owen Nelson"/>
    <x v="3"/>
    <n v="2"/>
    <d v="2026-06-03T00:00:00"/>
    <s v="Poor screen and slow performance"/>
    <s v="Pending"/>
    <x v="1"/>
    <s v="Performance"/>
  </r>
  <r>
    <s v="F035"/>
    <s v="Grace Carter"/>
    <x v="2"/>
    <n v="4"/>
    <d v="2026-06-04T00:00:00"/>
    <s v="Good sound but slightly uncomfortable"/>
    <s v="Responded"/>
    <x v="0"/>
    <s v="Sound"/>
  </r>
  <r>
    <s v="F036"/>
    <s v="Samuel Mitchell"/>
    <x v="0"/>
    <n v="5"/>
    <d v="2026-06-05T00:00:00"/>
    <s v="Great design and excellent performance"/>
    <s v="Responded"/>
    <x v="0"/>
    <s v="Performance"/>
  </r>
  <r>
    <s v="F037"/>
    <s v="Chloe Perez"/>
    <x v="1"/>
    <n v="3"/>
    <d v="2026-06-06T00:00:00"/>
    <s v="Average phone, battery could improve"/>
    <s v="Pending"/>
    <x v="2"/>
    <s v="Battery"/>
  </r>
  <r>
    <s v="F038"/>
    <s v="Leo Roberts"/>
    <x v="3"/>
    <n v="4"/>
    <d v="2026-06-07T00:00:00"/>
    <s v="Good tablet and easy to use"/>
    <s v="Responded"/>
    <x v="0"/>
    <s v="Other"/>
  </r>
  <r>
    <s v="F039"/>
    <s v="Zoey Turner"/>
    <x v="2"/>
    <n v="5"/>
    <d v="2026-06-08T00:00:00"/>
    <s v="Excellent sound and great comfort"/>
    <s v="Responded"/>
    <x v="0"/>
    <s v="Sound"/>
  </r>
  <r>
    <s v="F040"/>
    <s v="Daniel Phillips"/>
    <x v="0"/>
    <n v="2"/>
    <d v="2026-06-09T00:00:00"/>
    <s v="Poor battery and slow startup"/>
    <s v="Pending"/>
    <x v="1"/>
    <s v="Batt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9811C-30F8-4F67-8555-25D16D00CB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0:G24" firstHeaderRow="1" firstDataRow="1" firstDataCol="1"/>
  <pivotFields count="9">
    <pivotField dataField="1" showAll="0"/>
    <pivotField showAll="0"/>
    <pivotField showAll="0"/>
    <pivotField numFmtId="2" showAll="0"/>
    <pivotField numFmtId="14" showAll="0"/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 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28A69-3F35-410A-99C6-4A9BF68A5C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H17" firstHeaderRow="0" firstDataRow="1" firstDataCol="1"/>
  <pivotFields count="9">
    <pivotField dataField="1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numFmtId="2" showAll="0"/>
    <pivotField numFmtId="14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eedback ID" fld="0" subtotal="count" baseField="0" baseItem="0"/>
    <dataField name="Average of Rating" fld="3" subtotal="average" baseField="2" baseItem="0" numFmtId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40038-D548-4082-B7E0-AF007FDB3537}" name="Table1" displayName="Table1" ref="A1:G41" totalsRowShown="0" headerRowDxfId="26" dataDxfId="25">
  <autoFilter ref="A1:G41" xr:uid="{A3540038-D548-4082-B7E0-AF007FDB3537}"/>
  <tableColumns count="7">
    <tableColumn id="1" xr3:uid="{53220CA3-8FF3-4608-A5CB-1C7CB6034578}" name="Feedback ID" dataDxfId="24"/>
    <tableColumn id="2" xr3:uid="{AA74F933-B305-4669-B495-CB2C89C42BCD}" name="Customer Name" dataDxfId="23"/>
    <tableColumn id="3" xr3:uid="{21CD22FD-2A7F-4257-B2D5-45E23DAF19E2}" name="Product" dataDxfId="22"/>
    <tableColumn id="4" xr3:uid="{8BC8BD59-A560-42E8-BB2A-C647408B4B0B}" name="Rating" dataDxfId="21"/>
    <tableColumn id="5" xr3:uid="{A6104594-5DB7-4164-956D-2DFBCDD3DC95}" name="Feedback Date" dataDxfId="20"/>
    <tableColumn id="6" xr3:uid="{9C2E20DB-4BC9-4A02-8981-09C34ACC0459}" name="Feedback" dataDxfId="19"/>
    <tableColumn id="7" xr3:uid="{B9FD32A6-5C8D-4EE7-BAED-C38EEECA909A}" name="Response Statu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F8D1B8-EB30-4FC3-A8D4-90B9F143CF4F}" name="Table13" displayName="Table13" ref="A1:I41" totalsRowShown="0" headerRowDxfId="37" dataDxfId="36">
  <autoFilter ref="A1:I41" xr:uid="{5AF8D1B8-EB30-4FC3-A8D4-90B9F143CF4F}"/>
  <tableColumns count="9">
    <tableColumn id="1" xr3:uid="{0006C49C-FC53-4B87-BDEE-C1F86B97F426}" name="Feedback ID" dataDxfId="35"/>
    <tableColumn id="2" xr3:uid="{5F60D52D-068F-45F6-849F-87C73E3BECC5}" name="Customer Name" dataDxfId="34">
      <calculatedColumnFormula>PROPER(TRIM(Table1[[#This Row],[Customer Name]]))</calculatedColumnFormula>
    </tableColumn>
    <tableColumn id="3" xr3:uid="{5F1AFF38-2F49-4C8C-8423-C850837B8746}" name="Product" dataDxfId="33"/>
    <tableColumn id="4" xr3:uid="{6A3CD6D2-3FB9-46C4-97FC-BC38468028A3}" name="Rating" dataDxfId="32"/>
    <tableColumn id="5" xr3:uid="{18C4CD4C-824D-4C69-8F20-8E1311D50E9F}" name="Feedback Date" dataDxfId="31"/>
    <tableColumn id="6" xr3:uid="{E2545622-C010-4252-8AC2-C3C62F01DAF8}" name="Feedback" dataDxfId="30"/>
    <tableColumn id="7" xr3:uid="{04DEF8BA-73E5-44BD-9F48-829A099F4B05}" name="Response Status" dataDxfId="29"/>
    <tableColumn id="8" xr3:uid="{361025F6-939F-4A4A-B950-A9D2C1C3B712}" name="Sentiment" dataDxfId="28">
      <calculatedColumnFormula>IF(D2&gt;=4,"Positive",IF(D2=3,"Neutral","Negative"))</calculatedColumnFormula>
    </tableColumn>
    <tableColumn id="9" xr3:uid="{953EC7B7-D163-4E8F-9C35-6D45D8C2427C}" name="Feedback Theme" dataDxfId="27">
      <calculatedColumnFormula>IF(ISNUMBER(SEARCH("battery",F2)),"Battery",IF(ISNUMBER(SEARCH("camera",F2)),"Camera",IF(ISNUMBER(SEARCH("sound",F2)),"Sound",IF(ISNUMBER(SEARCH("performance",F2)),"Performance",IF(ISNUMBER(SEARCH("comfortable",F2)),"Comfort",IF(ISNUMBER(SEARCH("screen",F2)),"Screen","Other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C7F3-5997-4188-9AE5-35DE231FE50C}">
  <dimension ref="A1:G41"/>
  <sheetViews>
    <sheetView tabSelected="1" zoomScale="87" workbookViewId="0">
      <pane ySplit="1" topLeftCell="A30" activePane="bottomLeft" state="frozen"/>
      <selection pane="bottomLeft" activeCell="I41" sqref="I41"/>
    </sheetView>
  </sheetViews>
  <sheetFormatPr defaultRowHeight="14.5" x14ac:dyDescent="0.35"/>
  <cols>
    <col min="1" max="1" width="16.1796875" bestFit="1" customWidth="1"/>
    <col min="2" max="2" width="19.54296875" bestFit="1" customWidth="1"/>
    <col min="3" max="3" width="12.54296875" bestFit="1" customWidth="1"/>
    <col min="4" max="4" width="11.36328125" bestFit="1" customWidth="1"/>
    <col min="5" max="5" width="18.26953125" bestFit="1" customWidth="1"/>
    <col min="6" max="6" width="24" bestFit="1" customWidth="1"/>
    <col min="7" max="7" width="20.0898437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4">
        <v>5</v>
      </c>
      <c r="E2" s="3">
        <v>46143</v>
      </c>
      <c r="F2" s="2" t="s">
        <v>10</v>
      </c>
      <c r="G2" s="2" t="s">
        <v>11</v>
      </c>
    </row>
    <row r="3" spans="1:7" ht="29" x14ac:dyDescent="0.35">
      <c r="A3" s="2" t="s">
        <v>12</v>
      </c>
      <c r="B3" s="2" t="s">
        <v>13</v>
      </c>
      <c r="C3" s="2" t="s">
        <v>14</v>
      </c>
      <c r="D3" s="4">
        <v>2</v>
      </c>
      <c r="E3" s="3">
        <v>46144</v>
      </c>
      <c r="F3" s="2" t="s">
        <v>15</v>
      </c>
      <c r="G3" s="2" t="s">
        <v>16</v>
      </c>
    </row>
    <row r="4" spans="1:7" ht="29" x14ac:dyDescent="0.35">
      <c r="A4" s="2" t="s">
        <v>17</v>
      </c>
      <c r="B4" s="2" t="s">
        <v>18</v>
      </c>
      <c r="C4" s="2" t="s">
        <v>19</v>
      </c>
      <c r="D4" s="4">
        <v>4</v>
      </c>
      <c r="E4" s="3">
        <v>46145</v>
      </c>
      <c r="F4" s="2" t="s">
        <v>20</v>
      </c>
      <c r="G4" s="2" t="s">
        <v>11</v>
      </c>
    </row>
    <row r="5" spans="1:7" ht="29" x14ac:dyDescent="0.35">
      <c r="A5" s="2" t="s">
        <v>21</v>
      </c>
      <c r="B5" s="2" t="s">
        <v>22</v>
      </c>
      <c r="C5" s="2" t="s">
        <v>9</v>
      </c>
      <c r="D5" s="4">
        <v>3</v>
      </c>
      <c r="E5" s="3">
        <v>46146</v>
      </c>
      <c r="F5" s="2" t="s">
        <v>23</v>
      </c>
      <c r="G5" s="2" t="s">
        <v>11</v>
      </c>
    </row>
    <row r="6" spans="1:7" ht="29" x14ac:dyDescent="0.35">
      <c r="A6" s="2" t="s">
        <v>24</v>
      </c>
      <c r="B6" s="2" t="s">
        <v>25</v>
      </c>
      <c r="C6" s="2" t="s">
        <v>14</v>
      </c>
      <c r="D6" s="4">
        <v>5</v>
      </c>
      <c r="E6" s="3">
        <v>46147</v>
      </c>
      <c r="F6" s="2" t="s">
        <v>26</v>
      </c>
      <c r="G6" s="2" t="s">
        <v>11</v>
      </c>
    </row>
    <row r="7" spans="1:7" x14ac:dyDescent="0.35">
      <c r="A7" s="2" t="s">
        <v>27</v>
      </c>
      <c r="B7" s="2" t="s">
        <v>28</v>
      </c>
      <c r="C7" s="2" t="s">
        <v>29</v>
      </c>
      <c r="D7" s="4">
        <v>2</v>
      </c>
      <c r="E7" s="3">
        <v>46148</v>
      </c>
      <c r="F7" s="2" t="s">
        <v>30</v>
      </c>
      <c r="G7" s="2" t="s">
        <v>16</v>
      </c>
    </row>
    <row r="8" spans="1:7" ht="29" x14ac:dyDescent="0.35">
      <c r="A8" s="2" t="s">
        <v>31</v>
      </c>
      <c r="B8" s="2" t="s">
        <v>32</v>
      </c>
      <c r="C8" s="2" t="s">
        <v>19</v>
      </c>
      <c r="D8" s="4">
        <v>5</v>
      </c>
      <c r="E8" s="3">
        <v>46149</v>
      </c>
      <c r="F8" s="2" t="s">
        <v>33</v>
      </c>
      <c r="G8" s="2" t="s">
        <v>11</v>
      </c>
    </row>
    <row r="9" spans="1:7" ht="29" x14ac:dyDescent="0.35">
      <c r="A9" s="2" t="s">
        <v>34</v>
      </c>
      <c r="B9" s="2" t="s">
        <v>35</v>
      </c>
      <c r="C9" s="2" t="s">
        <v>9</v>
      </c>
      <c r="D9" s="4">
        <v>4</v>
      </c>
      <c r="E9" s="3">
        <v>46150</v>
      </c>
      <c r="F9" s="2" t="s">
        <v>36</v>
      </c>
      <c r="G9" s="2" t="s">
        <v>11</v>
      </c>
    </row>
    <row r="10" spans="1:7" ht="29" x14ac:dyDescent="0.35">
      <c r="A10" s="2" t="s">
        <v>37</v>
      </c>
      <c r="B10" s="2" t="s">
        <v>38</v>
      </c>
      <c r="C10" s="2" t="s">
        <v>14</v>
      </c>
      <c r="D10" s="4">
        <v>1</v>
      </c>
      <c r="E10" s="3">
        <v>46151</v>
      </c>
      <c r="F10" s="2" t="s">
        <v>39</v>
      </c>
      <c r="G10" s="2" t="s">
        <v>16</v>
      </c>
    </row>
    <row r="11" spans="1:7" x14ac:dyDescent="0.35">
      <c r="A11" s="2" t="s">
        <v>40</v>
      </c>
      <c r="B11" s="2" t="s">
        <v>41</v>
      </c>
      <c r="C11" s="2" t="s">
        <v>29</v>
      </c>
      <c r="D11" s="4">
        <v>4</v>
      </c>
      <c r="E11" s="3">
        <v>46152</v>
      </c>
      <c r="F11" s="2" t="s">
        <v>42</v>
      </c>
      <c r="G11" s="2" t="s">
        <v>11</v>
      </c>
    </row>
    <row r="12" spans="1:7" ht="29" x14ac:dyDescent="0.35">
      <c r="A12" s="2" t="s">
        <v>43</v>
      </c>
      <c r="B12" s="2" t="s">
        <v>44</v>
      </c>
      <c r="C12" s="2" t="s">
        <v>19</v>
      </c>
      <c r="D12" s="4">
        <v>3</v>
      </c>
      <c r="E12" s="3">
        <v>46153</v>
      </c>
      <c r="F12" s="2" t="s">
        <v>45</v>
      </c>
      <c r="G12" s="2" t="s">
        <v>16</v>
      </c>
    </row>
    <row r="13" spans="1:7" ht="29" x14ac:dyDescent="0.35">
      <c r="A13" s="2" t="s">
        <v>46</v>
      </c>
      <c r="B13" s="2" t="s">
        <v>47</v>
      </c>
      <c r="C13" s="2" t="s">
        <v>9</v>
      </c>
      <c r="D13" s="4">
        <v>5</v>
      </c>
      <c r="E13" s="3">
        <v>46154</v>
      </c>
      <c r="F13" s="2" t="s">
        <v>48</v>
      </c>
      <c r="G13" s="2" t="s">
        <v>11</v>
      </c>
    </row>
    <row r="14" spans="1:7" x14ac:dyDescent="0.35">
      <c r="A14" s="2" t="s">
        <v>49</v>
      </c>
      <c r="B14" s="2" t="s">
        <v>50</v>
      </c>
      <c r="C14" s="2" t="s">
        <v>14</v>
      </c>
      <c r="D14" s="4">
        <v>4</v>
      </c>
      <c r="E14" s="3">
        <v>46155</v>
      </c>
      <c r="F14" s="2" t="s">
        <v>51</v>
      </c>
      <c r="G14" s="2" t="s">
        <v>11</v>
      </c>
    </row>
    <row r="15" spans="1:7" ht="29" x14ac:dyDescent="0.35">
      <c r="A15" s="2" t="s">
        <v>52</v>
      </c>
      <c r="B15" s="2" t="s">
        <v>53</v>
      </c>
      <c r="C15" s="2" t="s">
        <v>29</v>
      </c>
      <c r="D15" s="4">
        <v>2</v>
      </c>
      <c r="E15" s="3">
        <v>46156</v>
      </c>
      <c r="F15" s="2" t="s">
        <v>54</v>
      </c>
      <c r="G15" s="2" t="s">
        <v>16</v>
      </c>
    </row>
    <row r="16" spans="1:7" ht="29" x14ac:dyDescent="0.35">
      <c r="A16" s="2" t="s">
        <v>55</v>
      </c>
      <c r="B16" s="2" t="s">
        <v>56</v>
      </c>
      <c r="C16" s="2" t="s">
        <v>19</v>
      </c>
      <c r="D16" s="4">
        <v>5</v>
      </c>
      <c r="E16" s="3">
        <v>46157</v>
      </c>
      <c r="F16" s="2" t="s">
        <v>57</v>
      </c>
      <c r="G16" s="2" t="s">
        <v>11</v>
      </c>
    </row>
    <row r="17" spans="1:7" ht="29" x14ac:dyDescent="0.35">
      <c r="A17" s="2" t="s">
        <v>58</v>
      </c>
      <c r="B17" s="2" t="s">
        <v>59</v>
      </c>
      <c r="C17" s="2" t="s">
        <v>9</v>
      </c>
      <c r="D17" s="4">
        <v>3</v>
      </c>
      <c r="E17" s="3">
        <v>46158</v>
      </c>
      <c r="F17" s="2" t="s">
        <v>60</v>
      </c>
      <c r="G17" s="2" t="s">
        <v>11</v>
      </c>
    </row>
    <row r="18" spans="1:7" ht="29" x14ac:dyDescent="0.35">
      <c r="A18" s="2" t="s">
        <v>61</v>
      </c>
      <c r="B18" s="2" t="s">
        <v>62</v>
      </c>
      <c r="C18" s="2" t="s">
        <v>14</v>
      </c>
      <c r="D18" s="4">
        <v>5</v>
      </c>
      <c r="E18" s="3">
        <v>46159</v>
      </c>
      <c r="F18" s="2" t="s">
        <v>63</v>
      </c>
      <c r="G18" s="2" t="s">
        <v>11</v>
      </c>
    </row>
    <row r="19" spans="1:7" ht="29" x14ac:dyDescent="0.35">
      <c r="A19" s="2" t="s">
        <v>64</v>
      </c>
      <c r="B19" s="2" t="s">
        <v>65</v>
      </c>
      <c r="C19" s="2" t="s">
        <v>29</v>
      </c>
      <c r="D19" s="4">
        <v>1</v>
      </c>
      <c r="E19" s="3">
        <v>46160</v>
      </c>
      <c r="F19" s="2" t="s">
        <v>66</v>
      </c>
      <c r="G19" s="2" t="s">
        <v>16</v>
      </c>
    </row>
    <row r="20" spans="1:7" ht="29" x14ac:dyDescent="0.35">
      <c r="A20" s="2" t="s">
        <v>67</v>
      </c>
      <c r="B20" s="2" t="s">
        <v>68</v>
      </c>
      <c r="C20" s="2" t="s">
        <v>19</v>
      </c>
      <c r="D20" s="4">
        <v>4</v>
      </c>
      <c r="E20" s="3">
        <v>46161</v>
      </c>
      <c r="F20" s="2" t="s">
        <v>69</v>
      </c>
      <c r="G20" s="2" t="s">
        <v>11</v>
      </c>
    </row>
    <row r="21" spans="1:7" ht="29" x14ac:dyDescent="0.35">
      <c r="A21" s="2" t="s">
        <v>70</v>
      </c>
      <c r="B21" s="2" t="s">
        <v>71</v>
      </c>
      <c r="C21" s="2" t="s">
        <v>9</v>
      </c>
      <c r="D21" s="4">
        <v>5</v>
      </c>
      <c r="E21" s="3">
        <v>46162</v>
      </c>
      <c r="F21" s="2" t="s">
        <v>72</v>
      </c>
      <c r="G21" s="2" t="s">
        <v>11</v>
      </c>
    </row>
    <row r="22" spans="1:7" ht="29" x14ac:dyDescent="0.35">
      <c r="A22" s="2" t="s">
        <v>73</v>
      </c>
      <c r="B22" s="2" t="s">
        <v>74</v>
      </c>
      <c r="C22" s="2" t="s">
        <v>14</v>
      </c>
      <c r="D22" s="4">
        <v>3</v>
      </c>
      <c r="E22" s="3">
        <v>46163</v>
      </c>
      <c r="F22" s="2" t="s">
        <v>75</v>
      </c>
      <c r="G22" s="2" t="s">
        <v>16</v>
      </c>
    </row>
    <row r="23" spans="1:7" ht="29" x14ac:dyDescent="0.35">
      <c r="A23" s="2" t="s">
        <v>76</v>
      </c>
      <c r="B23" s="2" t="s">
        <v>77</v>
      </c>
      <c r="C23" s="2" t="s">
        <v>29</v>
      </c>
      <c r="D23" s="4">
        <v>4</v>
      </c>
      <c r="E23" s="3">
        <v>46164</v>
      </c>
      <c r="F23" s="2" t="s">
        <v>78</v>
      </c>
      <c r="G23" s="2" t="s">
        <v>11</v>
      </c>
    </row>
    <row r="24" spans="1:7" ht="29" x14ac:dyDescent="0.35">
      <c r="A24" s="2" t="s">
        <v>79</v>
      </c>
      <c r="B24" s="2" t="s">
        <v>80</v>
      </c>
      <c r="C24" s="2" t="s">
        <v>19</v>
      </c>
      <c r="D24" s="4">
        <v>2</v>
      </c>
      <c r="E24" s="3">
        <v>46165</v>
      </c>
      <c r="F24" s="2" t="s">
        <v>81</v>
      </c>
      <c r="G24" s="2" t="s">
        <v>16</v>
      </c>
    </row>
    <row r="25" spans="1:7" ht="29" x14ac:dyDescent="0.35">
      <c r="A25" s="2" t="s">
        <v>82</v>
      </c>
      <c r="B25" s="2" t="s">
        <v>83</v>
      </c>
      <c r="C25" s="2" t="s">
        <v>9</v>
      </c>
      <c r="D25" s="4">
        <v>4</v>
      </c>
      <c r="E25" s="3">
        <v>46166</v>
      </c>
      <c r="F25" s="2" t="s">
        <v>84</v>
      </c>
      <c r="G25" s="2" t="s">
        <v>11</v>
      </c>
    </row>
    <row r="26" spans="1:7" ht="29" x14ac:dyDescent="0.35">
      <c r="A26" s="2" t="s">
        <v>85</v>
      </c>
      <c r="B26" s="2" t="s">
        <v>86</v>
      </c>
      <c r="C26" s="2" t="s">
        <v>14</v>
      </c>
      <c r="D26" s="4">
        <v>5</v>
      </c>
      <c r="E26" s="3">
        <v>46167</v>
      </c>
      <c r="F26" s="2" t="s">
        <v>87</v>
      </c>
      <c r="G26" s="2" t="s">
        <v>11</v>
      </c>
    </row>
    <row r="27" spans="1:7" x14ac:dyDescent="0.35">
      <c r="A27" s="2" t="s">
        <v>88</v>
      </c>
      <c r="B27" s="2" t="s">
        <v>89</v>
      </c>
      <c r="C27" s="2" t="s">
        <v>29</v>
      </c>
      <c r="D27" s="4">
        <v>3</v>
      </c>
      <c r="E27" s="3">
        <v>46168</v>
      </c>
      <c r="F27" s="2" t="s">
        <v>90</v>
      </c>
      <c r="G27" s="2" t="s">
        <v>11</v>
      </c>
    </row>
    <row r="28" spans="1:7" ht="29" x14ac:dyDescent="0.35">
      <c r="A28" s="2" t="s">
        <v>91</v>
      </c>
      <c r="B28" s="2" t="s">
        <v>92</v>
      </c>
      <c r="C28" s="2" t="s">
        <v>19</v>
      </c>
      <c r="D28" s="4">
        <v>5</v>
      </c>
      <c r="E28" s="3">
        <v>46169</v>
      </c>
      <c r="F28" s="2" t="s">
        <v>93</v>
      </c>
      <c r="G28" s="2" t="s">
        <v>11</v>
      </c>
    </row>
    <row r="29" spans="1:7" ht="29" x14ac:dyDescent="0.35">
      <c r="A29" s="2" t="s">
        <v>94</v>
      </c>
      <c r="B29" s="2" t="s">
        <v>95</v>
      </c>
      <c r="C29" s="2" t="s">
        <v>9</v>
      </c>
      <c r="D29" s="4">
        <v>2</v>
      </c>
      <c r="E29" s="3">
        <v>46170</v>
      </c>
      <c r="F29" s="2" t="s">
        <v>96</v>
      </c>
      <c r="G29" s="2" t="s">
        <v>16</v>
      </c>
    </row>
    <row r="30" spans="1:7" ht="29" x14ac:dyDescent="0.35">
      <c r="A30" s="2" t="s">
        <v>97</v>
      </c>
      <c r="B30" s="2" t="s">
        <v>98</v>
      </c>
      <c r="C30" s="2" t="s">
        <v>14</v>
      </c>
      <c r="D30" s="4">
        <v>4</v>
      </c>
      <c r="E30" s="3">
        <v>46171</v>
      </c>
      <c r="F30" s="2" t="s">
        <v>99</v>
      </c>
      <c r="G30" s="2" t="s">
        <v>11</v>
      </c>
    </row>
    <row r="31" spans="1:7" ht="29" x14ac:dyDescent="0.35">
      <c r="A31" s="2" t="s">
        <v>100</v>
      </c>
      <c r="B31" s="2" t="s">
        <v>101</v>
      </c>
      <c r="C31" s="2" t="s">
        <v>29</v>
      </c>
      <c r="D31" s="4">
        <v>5</v>
      </c>
      <c r="E31" s="3">
        <v>46172</v>
      </c>
      <c r="F31" s="2" t="s">
        <v>102</v>
      </c>
      <c r="G31" s="2" t="s">
        <v>11</v>
      </c>
    </row>
    <row r="32" spans="1:7" x14ac:dyDescent="0.35">
      <c r="A32" s="2" t="s">
        <v>103</v>
      </c>
      <c r="B32" s="2" t="s">
        <v>104</v>
      </c>
      <c r="C32" s="2" t="s">
        <v>19</v>
      </c>
      <c r="D32" s="4">
        <v>1</v>
      </c>
      <c r="E32" s="3">
        <v>46173</v>
      </c>
      <c r="F32" s="2" t="s">
        <v>105</v>
      </c>
      <c r="G32" s="2" t="s">
        <v>16</v>
      </c>
    </row>
    <row r="33" spans="1:7" x14ac:dyDescent="0.35">
      <c r="A33" s="2" t="s">
        <v>106</v>
      </c>
      <c r="B33" s="2" t="s">
        <v>107</v>
      </c>
      <c r="C33" s="2" t="s">
        <v>9</v>
      </c>
      <c r="D33" s="4">
        <v>4</v>
      </c>
      <c r="E33" s="3">
        <v>46174</v>
      </c>
      <c r="F33" s="2" t="s">
        <v>108</v>
      </c>
      <c r="G33" s="2" t="s">
        <v>11</v>
      </c>
    </row>
    <row r="34" spans="1:7" ht="29" x14ac:dyDescent="0.35">
      <c r="A34" s="2" t="s">
        <v>109</v>
      </c>
      <c r="B34" s="2" t="s">
        <v>110</v>
      </c>
      <c r="C34" s="2" t="s">
        <v>14</v>
      </c>
      <c r="D34" s="4">
        <v>5</v>
      </c>
      <c r="E34" s="3">
        <v>46175</v>
      </c>
      <c r="F34" s="2" t="s">
        <v>111</v>
      </c>
      <c r="G34" s="2" t="s">
        <v>11</v>
      </c>
    </row>
    <row r="35" spans="1:7" ht="29" x14ac:dyDescent="0.35">
      <c r="A35" s="2" t="s">
        <v>112</v>
      </c>
      <c r="B35" s="2" t="s">
        <v>113</v>
      </c>
      <c r="C35" s="2" t="s">
        <v>29</v>
      </c>
      <c r="D35" s="4">
        <v>2</v>
      </c>
      <c r="E35" s="3">
        <v>46176</v>
      </c>
      <c r="F35" s="2" t="s">
        <v>114</v>
      </c>
      <c r="G35" s="2" t="s">
        <v>16</v>
      </c>
    </row>
    <row r="36" spans="1:7" ht="29" x14ac:dyDescent="0.35">
      <c r="A36" s="2" t="s">
        <v>115</v>
      </c>
      <c r="B36" s="2" t="s">
        <v>116</v>
      </c>
      <c r="C36" s="2" t="s">
        <v>19</v>
      </c>
      <c r="D36" s="4">
        <v>4</v>
      </c>
      <c r="E36" s="3">
        <v>46177</v>
      </c>
      <c r="F36" s="2" t="s">
        <v>117</v>
      </c>
      <c r="G36" s="2" t="s">
        <v>11</v>
      </c>
    </row>
    <row r="37" spans="1:7" ht="29" x14ac:dyDescent="0.35">
      <c r="A37" s="2" t="s">
        <v>118</v>
      </c>
      <c r="B37" s="2" t="s">
        <v>119</v>
      </c>
      <c r="C37" s="2" t="s">
        <v>9</v>
      </c>
      <c r="D37" s="4">
        <v>5</v>
      </c>
      <c r="E37" s="3">
        <v>46178</v>
      </c>
      <c r="F37" s="2" t="s">
        <v>120</v>
      </c>
      <c r="G37" s="2" t="s">
        <v>11</v>
      </c>
    </row>
    <row r="38" spans="1:7" ht="29" x14ac:dyDescent="0.35">
      <c r="A38" s="2" t="s">
        <v>121</v>
      </c>
      <c r="B38" s="2" t="s">
        <v>122</v>
      </c>
      <c r="C38" s="2" t="s">
        <v>14</v>
      </c>
      <c r="D38" s="4">
        <v>3</v>
      </c>
      <c r="E38" s="3">
        <v>46179</v>
      </c>
      <c r="F38" s="2" t="s">
        <v>123</v>
      </c>
      <c r="G38" s="2" t="s">
        <v>16</v>
      </c>
    </row>
    <row r="39" spans="1:7" x14ac:dyDescent="0.35">
      <c r="A39" s="2" t="s">
        <v>124</v>
      </c>
      <c r="B39" s="2" t="s">
        <v>125</v>
      </c>
      <c r="C39" s="2" t="s">
        <v>29</v>
      </c>
      <c r="D39" s="4">
        <v>4</v>
      </c>
      <c r="E39" s="3">
        <v>46180</v>
      </c>
      <c r="F39" s="2" t="s">
        <v>126</v>
      </c>
      <c r="G39" s="2" t="s">
        <v>11</v>
      </c>
    </row>
    <row r="40" spans="1:7" ht="29" x14ac:dyDescent="0.35">
      <c r="A40" s="2" t="s">
        <v>127</v>
      </c>
      <c r="B40" s="2" t="s">
        <v>128</v>
      </c>
      <c r="C40" s="2" t="s">
        <v>19</v>
      </c>
      <c r="D40" s="4">
        <v>5</v>
      </c>
      <c r="E40" s="3">
        <v>46181</v>
      </c>
      <c r="F40" s="2" t="s">
        <v>129</v>
      </c>
      <c r="G40" s="2" t="s">
        <v>11</v>
      </c>
    </row>
    <row r="41" spans="1:7" ht="29" x14ac:dyDescent="0.35">
      <c r="A41" s="2" t="s">
        <v>130</v>
      </c>
      <c r="B41" s="2" t="s">
        <v>131</v>
      </c>
      <c r="C41" s="2" t="s">
        <v>9</v>
      </c>
      <c r="D41" s="4">
        <v>2</v>
      </c>
      <c r="E41" s="3">
        <v>46182</v>
      </c>
      <c r="F41" s="2" t="s">
        <v>132</v>
      </c>
      <c r="G4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0BE9-072D-4868-B45D-DCAF7AC35650}">
  <dimension ref="A1:I41"/>
  <sheetViews>
    <sheetView topLeftCell="A36" zoomScale="102" workbookViewId="0">
      <selection activeCell="A42" sqref="A42:XFD42"/>
    </sheetView>
  </sheetViews>
  <sheetFormatPr defaultRowHeight="14.5" x14ac:dyDescent="0.35"/>
  <cols>
    <col min="1" max="1" width="15.7265625" bestFit="1" customWidth="1"/>
    <col min="2" max="2" width="18.90625" bestFit="1" customWidth="1"/>
    <col min="3" max="3" width="12.453125" customWidth="1"/>
    <col min="4" max="4" width="12.81640625" customWidth="1"/>
    <col min="5" max="5" width="17.90625" bestFit="1" customWidth="1"/>
    <col min="6" max="6" width="22.7265625" customWidth="1"/>
    <col min="7" max="7" width="19.36328125" bestFit="1" customWidth="1"/>
    <col min="8" max="8" width="14.08984375" bestFit="1" customWidth="1"/>
    <col min="9" max="9" width="19.632812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133</v>
      </c>
      <c r="I1" s="1" t="s">
        <v>134</v>
      </c>
    </row>
    <row r="2" spans="1:9" ht="29" x14ac:dyDescent="0.35">
      <c r="A2" s="2" t="s">
        <v>7</v>
      </c>
      <c r="B2" s="2" t="str">
        <f>PROPER(TRIM(Table1[[#This Row],[Customer Name]]))</f>
        <v>Sarah Johnson</v>
      </c>
      <c r="C2" s="2" t="s">
        <v>9</v>
      </c>
      <c r="D2" s="4">
        <v>5</v>
      </c>
      <c r="E2" s="3">
        <v>46143</v>
      </c>
      <c r="F2" s="2" t="s">
        <v>10</v>
      </c>
      <c r="G2" s="2" t="s">
        <v>11</v>
      </c>
      <c r="H2" s="2" t="str">
        <f t="shared" ref="H2:H41" si="0">IF(D2&gt;=4,"Positive",IF(D2=3,"Neutral","Negative"))</f>
        <v>Positive</v>
      </c>
      <c r="I2" s="2" t="str">
        <f t="shared" ref="I2:I41" si="1">IF(ISNUMBER(SEARCH("battery",F2)),"Battery",IF(ISNUMBER(SEARCH("camera",F2)),"Camera",IF(ISNUMBER(SEARCH("sound",F2)),"Sound",IF(ISNUMBER(SEARCH("performance",F2)),"Performance",IF(ISNUMBER(SEARCH("comfortable",F2)),"Comfort",IF(ISNUMBER(SEARCH("screen",F2)),"Screen","Other"))))))</f>
        <v>Other</v>
      </c>
    </row>
    <row r="3" spans="1:9" ht="29" x14ac:dyDescent="0.35">
      <c r="A3" s="2" t="s">
        <v>12</v>
      </c>
      <c r="B3" s="2" t="str">
        <f>PROPER(TRIM(Table1[[#This Row],[Customer Name]]))</f>
        <v>John Smith</v>
      </c>
      <c r="C3" s="2" t="s">
        <v>14</v>
      </c>
      <c r="D3" s="4">
        <v>2</v>
      </c>
      <c r="E3" s="3">
        <v>46144</v>
      </c>
      <c r="F3" s="2" t="s">
        <v>15</v>
      </c>
      <c r="G3" s="2" t="s">
        <v>16</v>
      </c>
      <c r="H3" s="2" t="str">
        <f t="shared" si="0"/>
        <v>Negative</v>
      </c>
      <c r="I3" s="2" t="str">
        <f t="shared" si="1"/>
        <v>Battery</v>
      </c>
    </row>
    <row r="4" spans="1:9" ht="29" x14ac:dyDescent="0.35">
      <c r="A4" s="2" t="s">
        <v>17</v>
      </c>
      <c r="B4" s="2" t="str">
        <f>PROPER(TRIM(Table1[[#This Row],[Customer Name]]))</f>
        <v>Maria Garcia</v>
      </c>
      <c r="C4" s="2" t="s">
        <v>19</v>
      </c>
      <c r="D4" s="4">
        <v>4</v>
      </c>
      <c r="E4" s="3">
        <v>46145</v>
      </c>
      <c r="F4" s="2" t="s">
        <v>20</v>
      </c>
      <c r="G4" s="2" t="s">
        <v>11</v>
      </c>
      <c r="H4" s="2" t="str">
        <f t="shared" si="0"/>
        <v>Positive</v>
      </c>
      <c r="I4" s="2" t="str">
        <f t="shared" si="1"/>
        <v>Sound</v>
      </c>
    </row>
    <row r="5" spans="1:9" ht="29" x14ac:dyDescent="0.35">
      <c r="A5" s="2" t="s">
        <v>21</v>
      </c>
      <c r="B5" s="2" t="str">
        <f>PROPER(TRIM(Table1[[#This Row],[Customer Name]]))</f>
        <v>David Brown</v>
      </c>
      <c r="C5" s="2" t="s">
        <v>9</v>
      </c>
      <c r="D5" s="4">
        <v>3</v>
      </c>
      <c r="E5" s="3">
        <v>46146</v>
      </c>
      <c r="F5" s="2" t="s">
        <v>23</v>
      </c>
      <c r="G5" s="2" t="s">
        <v>11</v>
      </c>
      <c r="H5" s="2" t="str">
        <f t="shared" si="0"/>
        <v>Neutral</v>
      </c>
      <c r="I5" s="2" t="str">
        <f t="shared" si="1"/>
        <v>Other</v>
      </c>
    </row>
    <row r="6" spans="1:9" ht="29" x14ac:dyDescent="0.35">
      <c r="A6" s="2" t="s">
        <v>24</v>
      </c>
      <c r="B6" s="2" t="str">
        <f>PROPER(TRIM(Table1[[#This Row],[Customer Name]]))</f>
        <v>Emily Davis</v>
      </c>
      <c r="C6" s="2" t="s">
        <v>14</v>
      </c>
      <c r="D6" s="4">
        <v>5</v>
      </c>
      <c r="E6" s="3">
        <v>46147</v>
      </c>
      <c r="F6" s="2" t="s">
        <v>26</v>
      </c>
      <c r="G6" s="2" t="s">
        <v>11</v>
      </c>
      <c r="H6" s="2" t="str">
        <f t="shared" si="0"/>
        <v>Positive</v>
      </c>
      <c r="I6" s="2" t="str">
        <f t="shared" si="1"/>
        <v>Camera</v>
      </c>
    </row>
    <row r="7" spans="1:9" x14ac:dyDescent="0.35">
      <c r="A7" s="2" t="s">
        <v>27</v>
      </c>
      <c r="B7" s="2" t="str">
        <f>PROPER(TRIM(Table1[[#This Row],[Customer Name]]))</f>
        <v>Michael Wilson</v>
      </c>
      <c r="C7" s="2" t="s">
        <v>29</v>
      </c>
      <c r="D7" s="4">
        <v>2</v>
      </c>
      <c r="E7" s="3">
        <v>46148</v>
      </c>
      <c r="F7" s="2" t="s">
        <v>30</v>
      </c>
      <c r="G7" s="2" t="s">
        <v>16</v>
      </c>
      <c r="H7" s="2" t="str">
        <f t="shared" si="0"/>
        <v>Negative</v>
      </c>
      <c r="I7" s="2" t="str">
        <f t="shared" si="1"/>
        <v>Screen</v>
      </c>
    </row>
    <row r="8" spans="1:9" ht="29" x14ac:dyDescent="0.35">
      <c r="A8" s="2" t="s">
        <v>31</v>
      </c>
      <c r="B8" s="2" t="str">
        <f>PROPER(TRIM(Table1[[#This Row],[Customer Name]]))</f>
        <v>Jessica Miller</v>
      </c>
      <c r="C8" s="2" t="s">
        <v>19</v>
      </c>
      <c r="D8" s="4">
        <v>5</v>
      </c>
      <c r="E8" s="3">
        <v>46149</v>
      </c>
      <c r="F8" s="2" t="s">
        <v>33</v>
      </c>
      <c r="G8" s="2" t="s">
        <v>11</v>
      </c>
      <c r="H8" s="2" t="str">
        <f t="shared" si="0"/>
        <v>Positive</v>
      </c>
      <c r="I8" s="2" t="str">
        <f t="shared" si="1"/>
        <v>Sound</v>
      </c>
    </row>
    <row r="9" spans="1:9" ht="29" x14ac:dyDescent="0.35">
      <c r="A9" s="2" t="s">
        <v>34</v>
      </c>
      <c r="B9" s="2" t="str">
        <f>PROPER(TRIM(Table1[[#This Row],[Customer Name]]))</f>
        <v>Daniel Moore</v>
      </c>
      <c r="C9" s="2" t="s">
        <v>9</v>
      </c>
      <c r="D9" s="4">
        <v>4</v>
      </c>
      <c r="E9" s="3">
        <v>46150</v>
      </c>
      <c r="F9" s="2" t="s">
        <v>36</v>
      </c>
      <c r="G9" s="2" t="s">
        <v>11</v>
      </c>
      <c r="H9" s="2" t="str">
        <f t="shared" si="0"/>
        <v>Positive</v>
      </c>
      <c r="I9" s="2" t="str">
        <f t="shared" si="1"/>
        <v>Battery</v>
      </c>
    </row>
    <row r="10" spans="1:9" ht="29" x14ac:dyDescent="0.35">
      <c r="A10" s="2" t="s">
        <v>37</v>
      </c>
      <c r="B10" s="2" t="str">
        <f>PROPER(TRIM(Table1[[#This Row],[Customer Name]]))</f>
        <v>Olivia Taylor</v>
      </c>
      <c r="C10" s="2" t="s">
        <v>14</v>
      </c>
      <c r="D10" s="4">
        <v>1</v>
      </c>
      <c r="E10" s="3">
        <v>46151</v>
      </c>
      <c r="F10" s="2" t="s">
        <v>39</v>
      </c>
      <c r="G10" s="2" t="s">
        <v>16</v>
      </c>
      <c r="H10" s="2" t="str">
        <f t="shared" si="0"/>
        <v>Negative</v>
      </c>
      <c r="I10" s="2" t="str">
        <f t="shared" si="1"/>
        <v>Other</v>
      </c>
    </row>
    <row r="11" spans="1:9" ht="29" x14ac:dyDescent="0.35">
      <c r="A11" s="2" t="s">
        <v>40</v>
      </c>
      <c r="B11" s="2" t="str">
        <f>PROPER(TRIM(Table1[[#This Row],[Customer Name]]))</f>
        <v>James Anderson</v>
      </c>
      <c r="C11" s="2" t="s">
        <v>29</v>
      </c>
      <c r="D11" s="4">
        <v>4</v>
      </c>
      <c r="E11" s="3">
        <v>46152</v>
      </c>
      <c r="F11" s="2" t="s">
        <v>42</v>
      </c>
      <c r="G11" s="2" t="s">
        <v>11</v>
      </c>
      <c r="H11" s="2" t="str">
        <f t="shared" si="0"/>
        <v>Positive</v>
      </c>
      <c r="I11" s="2" t="str">
        <f t="shared" si="1"/>
        <v>Other</v>
      </c>
    </row>
    <row r="12" spans="1:9" ht="29" x14ac:dyDescent="0.35">
      <c r="A12" s="2" t="s">
        <v>43</v>
      </c>
      <c r="B12" s="2" t="str">
        <f>PROPER(TRIM(Table1[[#This Row],[Customer Name]]))</f>
        <v>Sophia Thomas</v>
      </c>
      <c r="C12" s="2" t="s">
        <v>19</v>
      </c>
      <c r="D12" s="4">
        <v>3</v>
      </c>
      <c r="E12" s="3">
        <v>46153</v>
      </c>
      <c r="F12" s="2" t="s">
        <v>45</v>
      </c>
      <c r="G12" s="2" t="s">
        <v>16</v>
      </c>
      <c r="H12" s="2" t="str">
        <f t="shared" si="0"/>
        <v>Neutral</v>
      </c>
      <c r="I12" s="2" t="str">
        <f t="shared" si="1"/>
        <v>Sound</v>
      </c>
    </row>
    <row r="13" spans="1:9" ht="29" x14ac:dyDescent="0.35">
      <c r="A13" s="2" t="s">
        <v>46</v>
      </c>
      <c r="B13" s="2" t="str">
        <f>PROPER(TRIM(Table1[[#This Row],[Customer Name]]))</f>
        <v>William Jackson</v>
      </c>
      <c r="C13" s="2" t="s">
        <v>9</v>
      </c>
      <c r="D13" s="4">
        <v>5</v>
      </c>
      <c r="E13" s="3">
        <v>46154</v>
      </c>
      <c r="F13" s="2" t="s">
        <v>48</v>
      </c>
      <c r="G13" s="2" t="s">
        <v>11</v>
      </c>
      <c r="H13" s="2" t="str">
        <f t="shared" si="0"/>
        <v>Positive</v>
      </c>
      <c r="I13" s="2" t="str">
        <f t="shared" si="1"/>
        <v>Performance</v>
      </c>
    </row>
    <row r="14" spans="1:9" x14ac:dyDescent="0.35">
      <c r="A14" s="2" t="s">
        <v>49</v>
      </c>
      <c r="B14" s="2" t="str">
        <f>PROPER(TRIM(Table1[[#This Row],[Customer Name]]))</f>
        <v>Ava White</v>
      </c>
      <c r="C14" s="2" t="s">
        <v>14</v>
      </c>
      <c r="D14" s="4">
        <v>4</v>
      </c>
      <c r="E14" s="3">
        <v>46155</v>
      </c>
      <c r="F14" s="2" t="s">
        <v>51</v>
      </c>
      <c r="G14" s="2" t="s">
        <v>11</v>
      </c>
      <c r="H14" s="2" t="str">
        <f t="shared" si="0"/>
        <v>Positive</v>
      </c>
      <c r="I14" s="2" t="str">
        <f t="shared" si="1"/>
        <v>Battery</v>
      </c>
    </row>
    <row r="15" spans="1:9" ht="29" x14ac:dyDescent="0.35">
      <c r="A15" s="2" t="s">
        <v>52</v>
      </c>
      <c r="B15" s="2" t="str">
        <f>PROPER(TRIM(Table1[[#This Row],[Customer Name]]))</f>
        <v>Robert Harris</v>
      </c>
      <c r="C15" s="2" t="s">
        <v>29</v>
      </c>
      <c r="D15" s="4">
        <v>2</v>
      </c>
      <c r="E15" s="3">
        <v>46156</v>
      </c>
      <c r="F15" s="2" t="s">
        <v>54</v>
      </c>
      <c r="G15" s="2" t="s">
        <v>16</v>
      </c>
      <c r="H15" s="2" t="str">
        <f t="shared" si="0"/>
        <v>Negative</v>
      </c>
      <c r="I15" s="2" t="str">
        <f t="shared" si="1"/>
        <v>Battery</v>
      </c>
    </row>
    <row r="16" spans="1:9" ht="29" x14ac:dyDescent="0.35">
      <c r="A16" s="2" t="s">
        <v>55</v>
      </c>
      <c r="B16" s="2" t="str">
        <f>PROPER(TRIM(Table1[[#This Row],[Customer Name]]))</f>
        <v>Mia Martin</v>
      </c>
      <c r="C16" s="2" t="s">
        <v>19</v>
      </c>
      <c r="D16" s="4">
        <v>5</v>
      </c>
      <c r="E16" s="3">
        <v>46157</v>
      </c>
      <c r="F16" s="2" t="s">
        <v>57</v>
      </c>
      <c r="G16" s="2" t="s">
        <v>11</v>
      </c>
      <c r="H16" s="2" t="str">
        <f t="shared" si="0"/>
        <v>Positive</v>
      </c>
      <c r="I16" s="2" t="str">
        <f t="shared" si="1"/>
        <v>Sound</v>
      </c>
    </row>
    <row r="17" spans="1:9" ht="29" x14ac:dyDescent="0.35">
      <c r="A17" s="2" t="s">
        <v>58</v>
      </c>
      <c r="B17" s="2" t="str">
        <f>PROPER(TRIM(Table1[[#This Row],[Customer Name]]))</f>
        <v>Ethan Thompson</v>
      </c>
      <c r="C17" s="2" t="s">
        <v>9</v>
      </c>
      <c r="D17" s="4">
        <v>3</v>
      </c>
      <c r="E17" s="3">
        <v>46158</v>
      </c>
      <c r="F17" s="2" t="s">
        <v>60</v>
      </c>
      <c r="G17" s="2" t="s">
        <v>11</v>
      </c>
      <c r="H17" s="2" t="str">
        <f t="shared" si="0"/>
        <v>Neutral</v>
      </c>
      <c r="I17" s="2" t="str">
        <f t="shared" si="1"/>
        <v>Other</v>
      </c>
    </row>
    <row r="18" spans="1:9" ht="29" x14ac:dyDescent="0.35">
      <c r="A18" s="2" t="s">
        <v>61</v>
      </c>
      <c r="B18" s="2" t="str">
        <f>PROPER(TRIM(Table1[[#This Row],[Customer Name]]))</f>
        <v>Isabella Garcia</v>
      </c>
      <c r="C18" s="2" t="s">
        <v>14</v>
      </c>
      <c r="D18" s="4">
        <v>5</v>
      </c>
      <c r="E18" s="3">
        <v>46159</v>
      </c>
      <c r="F18" s="2" t="s">
        <v>63</v>
      </c>
      <c r="G18" s="2" t="s">
        <v>11</v>
      </c>
      <c r="H18" s="2" t="str">
        <f t="shared" si="0"/>
        <v>Positive</v>
      </c>
      <c r="I18" s="2" t="str">
        <f t="shared" si="1"/>
        <v>Camera</v>
      </c>
    </row>
    <row r="19" spans="1:9" ht="29" x14ac:dyDescent="0.35">
      <c r="A19" s="2" t="s">
        <v>64</v>
      </c>
      <c r="B19" s="2" t="str">
        <f>PROPER(TRIM(Table1[[#This Row],[Customer Name]]))</f>
        <v>Alexander Martinez</v>
      </c>
      <c r="C19" s="2" t="s">
        <v>29</v>
      </c>
      <c r="D19" s="4">
        <v>1</v>
      </c>
      <c r="E19" s="3">
        <v>46160</v>
      </c>
      <c r="F19" s="2" t="s">
        <v>66</v>
      </c>
      <c r="G19" s="2" t="s">
        <v>16</v>
      </c>
      <c r="H19" s="2" t="str">
        <f t="shared" si="0"/>
        <v>Negative</v>
      </c>
      <c r="I19" s="2" t="str">
        <f t="shared" si="1"/>
        <v>Other</v>
      </c>
    </row>
    <row r="20" spans="1:9" ht="29" x14ac:dyDescent="0.35">
      <c r="A20" s="2" t="s">
        <v>67</v>
      </c>
      <c r="B20" s="2" t="str">
        <f>PROPER(TRIM(Table1[[#This Row],[Customer Name]]))</f>
        <v>Charlotte Robinson</v>
      </c>
      <c r="C20" s="2" t="s">
        <v>19</v>
      </c>
      <c r="D20" s="4">
        <v>4</v>
      </c>
      <c r="E20" s="3">
        <v>46161</v>
      </c>
      <c r="F20" s="2" t="s">
        <v>69</v>
      </c>
      <c r="G20" s="2" t="s">
        <v>11</v>
      </c>
      <c r="H20" s="2" t="str">
        <f t="shared" si="0"/>
        <v>Positive</v>
      </c>
      <c r="I20" s="2" t="str">
        <f t="shared" si="1"/>
        <v>Comfort</v>
      </c>
    </row>
    <row r="21" spans="1:9" ht="29" x14ac:dyDescent="0.35">
      <c r="A21" s="2" t="s">
        <v>70</v>
      </c>
      <c r="B21" s="2" t="str">
        <f>PROPER(TRIM(Table1[[#This Row],[Customer Name]]))</f>
        <v>Benjamin Clark</v>
      </c>
      <c r="C21" s="2" t="s">
        <v>9</v>
      </c>
      <c r="D21" s="4">
        <v>5</v>
      </c>
      <c r="E21" s="3">
        <v>46162</v>
      </c>
      <c r="F21" s="2" t="s">
        <v>72</v>
      </c>
      <c r="G21" s="2" t="s">
        <v>11</v>
      </c>
      <c r="H21" s="2" t="str">
        <f t="shared" si="0"/>
        <v>Positive</v>
      </c>
      <c r="I21" s="2" t="str">
        <f t="shared" si="1"/>
        <v>Battery</v>
      </c>
    </row>
    <row r="22" spans="1:9" ht="29" x14ac:dyDescent="0.35">
      <c r="A22" s="2" t="s">
        <v>73</v>
      </c>
      <c r="B22" s="2" t="str">
        <f>PROPER(TRIM(Table1[[#This Row],[Customer Name]]))</f>
        <v>Amelia Rodriguez</v>
      </c>
      <c r="C22" s="2" t="s">
        <v>14</v>
      </c>
      <c r="D22" s="4">
        <v>3</v>
      </c>
      <c r="E22" s="3">
        <v>46163</v>
      </c>
      <c r="F22" s="2" t="s">
        <v>75</v>
      </c>
      <c r="G22" s="2" t="s">
        <v>16</v>
      </c>
      <c r="H22" s="2" t="str">
        <f t="shared" si="0"/>
        <v>Neutral</v>
      </c>
      <c r="I22" s="2" t="str">
        <f t="shared" si="1"/>
        <v>Camera</v>
      </c>
    </row>
    <row r="23" spans="1:9" ht="29" x14ac:dyDescent="0.35">
      <c r="A23" s="2" t="s">
        <v>76</v>
      </c>
      <c r="B23" s="2" t="str">
        <f>PROPER(TRIM(Table1[[#This Row],[Customer Name]]))</f>
        <v>Lucas Lewis</v>
      </c>
      <c r="C23" s="2" t="s">
        <v>29</v>
      </c>
      <c r="D23" s="4">
        <v>4</v>
      </c>
      <c r="E23" s="3">
        <v>46164</v>
      </c>
      <c r="F23" s="2" t="s">
        <v>78</v>
      </c>
      <c r="G23" s="2" t="s">
        <v>11</v>
      </c>
      <c r="H23" s="2" t="str">
        <f t="shared" si="0"/>
        <v>Positive</v>
      </c>
      <c r="I23" s="2" t="str">
        <f t="shared" si="1"/>
        <v>Screen</v>
      </c>
    </row>
    <row r="24" spans="1:9" ht="29" x14ac:dyDescent="0.35">
      <c r="A24" s="2" t="s">
        <v>79</v>
      </c>
      <c r="B24" s="2" t="str">
        <f>PROPER(TRIM(Table1[[#This Row],[Customer Name]]))</f>
        <v>Harper Lee</v>
      </c>
      <c r="C24" s="2" t="s">
        <v>19</v>
      </c>
      <c r="D24" s="4">
        <v>2</v>
      </c>
      <c r="E24" s="3">
        <v>46165</v>
      </c>
      <c r="F24" s="2" t="s">
        <v>81</v>
      </c>
      <c r="G24" s="2" t="s">
        <v>16</v>
      </c>
      <c r="H24" s="2" t="str">
        <f t="shared" si="0"/>
        <v>Negative</v>
      </c>
      <c r="I24" s="2" t="str">
        <f t="shared" si="1"/>
        <v>Sound</v>
      </c>
    </row>
    <row r="25" spans="1:9" ht="29" x14ac:dyDescent="0.35">
      <c r="A25" s="2" t="s">
        <v>82</v>
      </c>
      <c r="B25" s="2" t="str">
        <f>PROPER(TRIM(Table1[[#This Row],[Customer Name]]))</f>
        <v>Henry Walker</v>
      </c>
      <c r="C25" s="2" t="s">
        <v>9</v>
      </c>
      <c r="D25" s="4">
        <v>4</v>
      </c>
      <c r="E25" s="3">
        <v>46166</v>
      </c>
      <c r="F25" s="2" t="s">
        <v>84</v>
      </c>
      <c r="G25" s="2" t="s">
        <v>11</v>
      </c>
      <c r="H25" s="2" t="str">
        <f t="shared" si="0"/>
        <v>Positive</v>
      </c>
      <c r="I25" s="2" t="str">
        <f t="shared" si="1"/>
        <v>Performance</v>
      </c>
    </row>
    <row r="26" spans="1:9" ht="29" x14ac:dyDescent="0.35">
      <c r="A26" s="2" t="s">
        <v>85</v>
      </c>
      <c r="B26" s="2" t="str">
        <f>PROPER(TRIM(Table1[[#This Row],[Customer Name]]))</f>
        <v>Evelyn Hall</v>
      </c>
      <c r="C26" s="2" t="s">
        <v>14</v>
      </c>
      <c r="D26" s="4">
        <v>5</v>
      </c>
      <c r="E26" s="3">
        <v>46167</v>
      </c>
      <c r="F26" s="2" t="s">
        <v>87</v>
      </c>
      <c r="G26" s="2" t="s">
        <v>11</v>
      </c>
      <c r="H26" s="2" t="str">
        <f t="shared" si="0"/>
        <v>Positive</v>
      </c>
      <c r="I26" s="2" t="str">
        <f t="shared" si="1"/>
        <v>Battery</v>
      </c>
    </row>
    <row r="27" spans="1:9" x14ac:dyDescent="0.35">
      <c r="A27" s="2" t="s">
        <v>88</v>
      </c>
      <c r="B27" s="2" t="str">
        <f>PROPER(TRIM(Table1[[#This Row],[Customer Name]]))</f>
        <v>Daniel Allen</v>
      </c>
      <c r="C27" s="2" t="s">
        <v>29</v>
      </c>
      <c r="D27" s="4">
        <v>3</v>
      </c>
      <c r="E27" s="3">
        <v>46168</v>
      </c>
      <c r="F27" s="2" t="s">
        <v>90</v>
      </c>
      <c r="G27" s="2" t="s">
        <v>11</v>
      </c>
      <c r="H27" s="2" t="str">
        <f t="shared" si="0"/>
        <v>Neutral</v>
      </c>
      <c r="I27" s="2" t="str">
        <f t="shared" si="1"/>
        <v>Other</v>
      </c>
    </row>
    <row r="28" spans="1:9" ht="29" x14ac:dyDescent="0.35">
      <c r="A28" s="2" t="s">
        <v>91</v>
      </c>
      <c r="B28" s="2" t="str">
        <f>PROPER(TRIM(Table1[[#This Row],[Customer Name]]))</f>
        <v>Abigail Young</v>
      </c>
      <c r="C28" s="2" t="s">
        <v>19</v>
      </c>
      <c r="D28" s="4">
        <v>5</v>
      </c>
      <c r="E28" s="3">
        <v>46169</v>
      </c>
      <c r="F28" s="2" t="s">
        <v>93</v>
      </c>
      <c r="G28" s="2" t="s">
        <v>11</v>
      </c>
      <c r="H28" s="2" t="str">
        <f t="shared" si="0"/>
        <v>Positive</v>
      </c>
      <c r="I28" s="2" t="str">
        <f t="shared" si="1"/>
        <v>Sound</v>
      </c>
    </row>
    <row r="29" spans="1:9" ht="29" x14ac:dyDescent="0.35">
      <c r="A29" s="2" t="s">
        <v>94</v>
      </c>
      <c r="B29" s="2" t="str">
        <f>PROPER(TRIM(Table1[[#This Row],[Customer Name]]))</f>
        <v>Matthew King</v>
      </c>
      <c r="C29" s="2" t="s">
        <v>9</v>
      </c>
      <c r="D29" s="4">
        <v>2</v>
      </c>
      <c r="E29" s="3">
        <v>46170</v>
      </c>
      <c r="F29" s="2" t="s">
        <v>96</v>
      </c>
      <c r="G29" s="2" t="s">
        <v>16</v>
      </c>
      <c r="H29" s="2" t="str">
        <f t="shared" si="0"/>
        <v>Negative</v>
      </c>
      <c r="I29" s="2" t="str">
        <f t="shared" si="1"/>
        <v>Battery</v>
      </c>
    </row>
    <row r="30" spans="1:9" ht="29" x14ac:dyDescent="0.35">
      <c r="A30" s="2" t="s">
        <v>97</v>
      </c>
      <c r="B30" s="2" t="str">
        <f>PROPER(TRIM(Table1[[#This Row],[Customer Name]]))</f>
        <v>Ella Wright</v>
      </c>
      <c r="C30" s="2" t="s">
        <v>14</v>
      </c>
      <c r="D30" s="4">
        <v>4</v>
      </c>
      <c r="E30" s="3">
        <v>46171</v>
      </c>
      <c r="F30" s="2" t="s">
        <v>99</v>
      </c>
      <c r="G30" s="2" t="s">
        <v>11</v>
      </c>
      <c r="H30" s="2" t="str">
        <f t="shared" si="0"/>
        <v>Positive</v>
      </c>
      <c r="I30" s="2" t="str">
        <f t="shared" si="1"/>
        <v>Camera</v>
      </c>
    </row>
    <row r="31" spans="1:9" ht="29" x14ac:dyDescent="0.35">
      <c r="A31" s="2" t="s">
        <v>100</v>
      </c>
      <c r="B31" s="2" t="str">
        <f>PROPER(TRIM(Table1[[#This Row],[Customer Name]]))</f>
        <v>Sebastian Scott</v>
      </c>
      <c r="C31" s="2" t="s">
        <v>29</v>
      </c>
      <c r="D31" s="4">
        <v>5</v>
      </c>
      <c r="E31" s="3">
        <v>46172</v>
      </c>
      <c r="F31" s="2" t="s">
        <v>102</v>
      </c>
      <c r="G31" s="2" t="s">
        <v>11</v>
      </c>
      <c r="H31" s="2" t="str">
        <f t="shared" si="0"/>
        <v>Positive</v>
      </c>
      <c r="I31" s="2" t="str">
        <f t="shared" si="1"/>
        <v>Other</v>
      </c>
    </row>
    <row r="32" spans="1:9" x14ac:dyDescent="0.35">
      <c r="A32" s="2" t="s">
        <v>103</v>
      </c>
      <c r="B32" s="2" t="str">
        <f>PROPER(TRIM(Table1[[#This Row],[Customer Name]]))</f>
        <v>Avery Green</v>
      </c>
      <c r="C32" s="2" t="s">
        <v>19</v>
      </c>
      <c r="D32" s="4">
        <v>1</v>
      </c>
      <c r="E32" s="3">
        <v>46173</v>
      </c>
      <c r="F32" s="2" t="s">
        <v>105</v>
      </c>
      <c r="G32" s="2" t="s">
        <v>16</v>
      </c>
      <c r="H32" s="2" t="str">
        <f t="shared" si="0"/>
        <v>Negative</v>
      </c>
      <c r="I32" s="2" t="str">
        <f t="shared" si="1"/>
        <v>Sound</v>
      </c>
    </row>
    <row r="33" spans="1:9" x14ac:dyDescent="0.35">
      <c r="A33" s="2" t="s">
        <v>106</v>
      </c>
      <c r="B33" s="2" t="str">
        <f>PROPER(TRIM(Table1[[#This Row],[Customer Name]]))</f>
        <v>Jack Baker</v>
      </c>
      <c r="C33" s="2" t="s">
        <v>9</v>
      </c>
      <c r="D33" s="4">
        <v>4</v>
      </c>
      <c r="E33" s="3">
        <v>46174</v>
      </c>
      <c r="F33" s="2" t="s">
        <v>108</v>
      </c>
      <c r="G33" s="2" t="s">
        <v>11</v>
      </c>
      <c r="H33" s="2" t="str">
        <f t="shared" si="0"/>
        <v>Positive</v>
      </c>
      <c r="I33" s="2" t="str">
        <f t="shared" si="1"/>
        <v>Other</v>
      </c>
    </row>
    <row r="34" spans="1:9" ht="29" x14ac:dyDescent="0.35">
      <c r="A34" s="2" t="s">
        <v>109</v>
      </c>
      <c r="B34" s="2" t="str">
        <f>PROPER(TRIM(Table1[[#This Row],[Customer Name]]))</f>
        <v>Lily Adams</v>
      </c>
      <c r="C34" s="2" t="s">
        <v>14</v>
      </c>
      <c r="D34" s="4">
        <v>5</v>
      </c>
      <c r="E34" s="3">
        <v>46175</v>
      </c>
      <c r="F34" s="2" t="s">
        <v>111</v>
      </c>
      <c r="G34" s="2" t="s">
        <v>11</v>
      </c>
      <c r="H34" s="2" t="str">
        <f t="shared" si="0"/>
        <v>Positive</v>
      </c>
      <c r="I34" s="2" t="str">
        <f t="shared" si="1"/>
        <v>Camera</v>
      </c>
    </row>
    <row r="35" spans="1:9" ht="29" x14ac:dyDescent="0.35">
      <c r="A35" s="2" t="s">
        <v>112</v>
      </c>
      <c r="B35" s="2" t="str">
        <f>PROPER(TRIM(Table1[[#This Row],[Customer Name]]))</f>
        <v>Owen Nelson</v>
      </c>
      <c r="C35" s="2" t="s">
        <v>29</v>
      </c>
      <c r="D35" s="4">
        <v>2</v>
      </c>
      <c r="E35" s="3">
        <v>46176</v>
      </c>
      <c r="F35" s="2" t="s">
        <v>114</v>
      </c>
      <c r="G35" s="2" t="s">
        <v>16</v>
      </c>
      <c r="H35" s="2" t="str">
        <f t="shared" si="0"/>
        <v>Negative</v>
      </c>
      <c r="I35" s="2" t="str">
        <f t="shared" si="1"/>
        <v>Performance</v>
      </c>
    </row>
    <row r="36" spans="1:9" ht="29" x14ac:dyDescent="0.35">
      <c r="A36" s="2" t="s">
        <v>115</v>
      </c>
      <c r="B36" s="2" t="str">
        <f>PROPER(TRIM(Table1[[#This Row],[Customer Name]]))</f>
        <v>Grace Carter</v>
      </c>
      <c r="C36" s="2" t="s">
        <v>19</v>
      </c>
      <c r="D36" s="4">
        <v>4</v>
      </c>
      <c r="E36" s="3">
        <v>46177</v>
      </c>
      <c r="F36" s="2" t="s">
        <v>117</v>
      </c>
      <c r="G36" s="2" t="s">
        <v>11</v>
      </c>
      <c r="H36" s="2" t="str">
        <f t="shared" si="0"/>
        <v>Positive</v>
      </c>
      <c r="I36" s="2" t="str">
        <f t="shared" si="1"/>
        <v>Sound</v>
      </c>
    </row>
    <row r="37" spans="1:9" ht="29" x14ac:dyDescent="0.35">
      <c r="A37" s="2" t="s">
        <v>118</v>
      </c>
      <c r="B37" s="2" t="str">
        <f>PROPER(TRIM(Table1[[#This Row],[Customer Name]]))</f>
        <v>Samuel Mitchell</v>
      </c>
      <c r="C37" s="2" t="s">
        <v>9</v>
      </c>
      <c r="D37" s="4">
        <v>5</v>
      </c>
      <c r="E37" s="3">
        <v>46178</v>
      </c>
      <c r="F37" s="2" t="s">
        <v>120</v>
      </c>
      <c r="G37" s="2" t="s">
        <v>11</v>
      </c>
      <c r="H37" s="2" t="str">
        <f t="shared" si="0"/>
        <v>Positive</v>
      </c>
      <c r="I37" s="2" t="str">
        <f t="shared" si="1"/>
        <v>Performance</v>
      </c>
    </row>
    <row r="38" spans="1:9" ht="29" x14ac:dyDescent="0.35">
      <c r="A38" s="2" t="s">
        <v>121</v>
      </c>
      <c r="B38" s="2" t="str">
        <f>PROPER(TRIM(Table1[[#This Row],[Customer Name]]))</f>
        <v>Chloe Perez</v>
      </c>
      <c r="C38" s="2" t="s">
        <v>14</v>
      </c>
      <c r="D38" s="4">
        <v>3</v>
      </c>
      <c r="E38" s="3">
        <v>46179</v>
      </c>
      <c r="F38" s="2" t="s">
        <v>123</v>
      </c>
      <c r="G38" s="2" t="s">
        <v>16</v>
      </c>
      <c r="H38" s="2" t="str">
        <f>IF(D38&gt;=4,"Positive",IF(D38=3,"Neutral","Negative"))</f>
        <v>Neutral</v>
      </c>
      <c r="I38" s="2" t="str">
        <f t="shared" si="1"/>
        <v>Battery</v>
      </c>
    </row>
    <row r="39" spans="1:9" ht="29" x14ac:dyDescent="0.35">
      <c r="A39" s="2" t="s">
        <v>124</v>
      </c>
      <c r="B39" s="2" t="str">
        <f>PROPER(TRIM(Table1[[#This Row],[Customer Name]]))</f>
        <v>Leo Roberts</v>
      </c>
      <c r="C39" s="2" t="s">
        <v>29</v>
      </c>
      <c r="D39" s="4">
        <v>4</v>
      </c>
      <c r="E39" s="3">
        <v>46180</v>
      </c>
      <c r="F39" s="2" t="s">
        <v>126</v>
      </c>
      <c r="G39" s="2" t="s">
        <v>11</v>
      </c>
      <c r="H39" s="2" t="str">
        <f t="shared" si="0"/>
        <v>Positive</v>
      </c>
      <c r="I39" s="2" t="str">
        <f t="shared" si="1"/>
        <v>Other</v>
      </c>
    </row>
    <row r="40" spans="1:9" ht="29" x14ac:dyDescent="0.35">
      <c r="A40" s="2" t="s">
        <v>127</v>
      </c>
      <c r="B40" s="2" t="str">
        <f>PROPER(TRIM(Table1[[#This Row],[Customer Name]]))</f>
        <v>Zoey Turner</v>
      </c>
      <c r="C40" s="2" t="s">
        <v>19</v>
      </c>
      <c r="D40" s="4">
        <v>5</v>
      </c>
      <c r="E40" s="3">
        <v>46181</v>
      </c>
      <c r="F40" s="2" t="s">
        <v>129</v>
      </c>
      <c r="G40" s="2" t="s">
        <v>11</v>
      </c>
      <c r="H40" s="2" t="str">
        <f t="shared" si="0"/>
        <v>Positive</v>
      </c>
      <c r="I40" s="2" t="str">
        <f t="shared" si="1"/>
        <v>Sound</v>
      </c>
    </row>
    <row r="41" spans="1:9" ht="29" x14ac:dyDescent="0.35">
      <c r="A41" s="2" t="s">
        <v>130</v>
      </c>
      <c r="B41" s="2" t="str">
        <f>PROPER(TRIM(Table1[[#This Row],[Customer Name]]))</f>
        <v>Daniel Phillips</v>
      </c>
      <c r="C41" s="2" t="s">
        <v>9</v>
      </c>
      <c r="D41" s="4">
        <v>2</v>
      </c>
      <c r="E41" s="3">
        <v>46182</v>
      </c>
      <c r="F41" s="2" t="s">
        <v>132</v>
      </c>
      <c r="G41" s="2" t="s">
        <v>16</v>
      </c>
      <c r="H41" s="2" t="str">
        <f t="shared" si="0"/>
        <v>Negative</v>
      </c>
      <c r="I41" s="2" t="str">
        <f t="shared" si="1"/>
        <v>Battery</v>
      </c>
    </row>
  </sheetData>
  <conditionalFormatting sqref="D2:D41">
    <cfRule type="cellIs" dxfId="5" priority="4" operator="equal">
      <formula>3</formula>
    </cfRule>
    <cfRule type="cellIs" dxfId="4" priority="5" operator="lessThan">
      <formula>3</formula>
    </cfRule>
    <cfRule type="cellIs" dxfId="3" priority="6" operator="greaterThan">
      <formula>3</formula>
    </cfRule>
  </conditionalFormatting>
  <conditionalFormatting sqref="H2:H41">
    <cfRule type="containsText" dxfId="2" priority="1" operator="containsText" text="Negative">
      <formula>NOT(ISERROR(SEARCH("Negative",H2)))</formula>
    </cfRule>
    <cfRule type="containsText" dxfId="1" priority="2" operator="containsText" text="Neutral">
      <formula>NOT(ISERROR(SEARCH("Neutral",H2)))</formula>
    </cfRule>
    <cfRule type="containsText" dxfId="0" priority="3" operator="containsText" text="positive">
      <formula>NOT(ISERROR(SEARCH("positive",H2)))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5B10-C5E3-4D80-AE05-53155173CA81}">
  <dimension ref="A1:H31"/>
  <sheetViews>
    <sheetView topLeftCell="A8" zoomScale="129" workbookViewId="0">
      <selection activeCell="G16" sqref="G16"/>
    </sheetView>
  </sheetViews>
  <sheetFormatPr defaultRowHeight="14" x14ac:dyDescent="0.3"/>
  <cols>
    <col min="1" max="1" width="22.6328125" style="5" bestFit="1" customWidth="1"/>
    <col min="2" max="5" width="8.7265625" style="5"/>
    <col min="6" max="6" width="14.08984375" style="5" bestFit="1" customWidth="1"/>
    <col min="7" max="7" width="21.36328125" style="5" bestFit="1" customWidth="1"/>
    <col min="8" max="8" width="17.81640625" style="5" bestFit="1" customWidth="1"/>
    <col min="9" max="16384" width="8.7265625" style="5"/>
  </cols>
  <sheetData>
    <row r="1" spans="1:8" ht="15.5" x14ac:dyDescent="0.3">
      <c r="A1" s="12" t="s">
        <v>151</v>
      </c>
      <c r="B1" s="12"/>
      <c r="C1" s="12"/>
    </row>
    <row r="2" spans="1:8" x14ac:dyDescent="0.3">
      <c r="A2" s="5" t="s">
        <v>152</v>
      </c>
      <c r="B2" s="5">
        <f>B13</f>
        <v>40</v>
      </c>
    </row>
    <row r="3" spans="1:8" x14ac:dyDescent="0.3">
      <c r="A3" s="5" t="s">
        <v>153</v>
      </c>
      <c r="B3" s="5">
        <f>B14</f>
        <v>3.6</v>
      </c>
    </row>
    <row r="4" spans="1:8" x14ac:dyDescent="0.3">
      <c r="A4" s="5" t="s">
        <v>154</v>
      </c>
      <c r="B4" s="5">
        <f>B21</f>
        <v>24</v>
      </c>
    </row>
    <row r="5" spans="1:8" x14ac:dyDescent="0.3">
      <c r="A5" s="5" t="s">
        <v>155</v>
      </c>
      <c r="B5" s="5">
        <f>B23</f>
        <v>10</v>
      </c>
    </row>
    <row r="6" spans="1:8" x14ac:dyDescent="0.3">
      <c r="A6" s="5" t="s">
        <v>156</v>
      </c>
      <c r="B6" s="5">
        <f>B22</f>
        <v>6</v>
      </c>
    </row>
    <row r="7" spans="1:8" x14ac:dyDescent="0.3">
      <c r="A7" s="5" t="s">
        <v>157</v>
      </c>
      <c r="B7" s="5" t="s">
        <v>9</v>
      </c>
    </row>
    <row r="8" spans="1:8" x14ac:dyDescent="0.3">
      <c r="A8" s="5" t="s">
        <v>158</v>
      </c>
      <c r="B8" s="5" t="s">
        <v>29</v>
      </c>
    </row>
    <row r="12" spans="1:8" x14ac:dyDescent="0.3">
      <c r="A12" s="11" t="s">
        <v>135</v>
      </c>
      <c r="B12" s="11"/>
      <c r="C12" s="11"/>
      <c r="F12" s="7" t="s">
        <v>147</v>
      </c>
      <c r="G12" s="8" t="s">
        <v>149</v>
      </c>
      <c r="H12" s="8" t="s">
        <v>150</v>
      </c>
    </row>
    <row r="13" spans="1:8" x14ac:dyDescent="0.3">
      <c r="A13" s="5" t="s">
        <v>136</v>
      </c>
      <c r="B13" s="5">
        <f>COUNTA(Table13[Feedback])</f>
        <v>40</v>
      </c>
      <c r="F13" s="9" t="s">
        <v>19</v>
      </c>
      <c r="G13" s="8">
        <v>10</v>
      </c>
      <c r="H13" s="10">
        <v>3.8</v>
      </c>
    </row>
    <row r="14" spans="1:8" x14ac:dyDescent="0.3">
      <c r="A14" s="5" t="s">
        <v>137</v>
      </c>
      <c r="B14" s="5">
        <f>AVERAGE(Table13[Rating])</f>
        <v>3.6</v>
      </c>
      <c r="F14" s="9" t="s">
        <v>9</v>
      </c>
      <c r="G14" s="8">
        <v>11</v>
      </c>
      <c r="H14" s="10">
        <v>3.8181818181818183</v>
      </c>
    </row>
    <row r="15" spans="1:8" x14ac:dyDescent="0.3">
      <c r="A15" s="5" t="s">
        <v>138</v>
      </c>
      <c r="B15" s="5">
        <f>MAX(Table13[Rating])</f>
        <v>5</v>
      </c>
      <c r="F15" s="9" t="s">
        <v>14</v>
      </c>
      <c r="G15" s="8">
        <v>10</v>
      </c>
      <c r="H15" s="10">
        <v>3.7</v>
      </c>
    </row>
    <row r="16" spans="1:8" x14ac:dyDescent="0.3">
      <c r="A16" s="5" t="s">
        <v>139</v>
      </c>
      <c r="B16" s="5">
        <f>MIN(Table13[Rating])</f>
        <v>1</v>
      </c>
      <c r="F16" s="9" t="s">
        <v>29</v>
      </c>
      <c r="G16" s="8">
        <v>9</v>
      </c>
      <c r="H16" s="10">
        <v>3</v>
      </c>
    </row>
    <row r="17" spans="1:8" x14ac:dyDescent="0.3">
      <c r="F17" s="9" t="s">
        <v>148</v>
      </c>
      <c r="G17" s="8">
        <v>40</v>
      </c>
      <c r="H17" s="10">
        <v>3.6</v>
      </c>
    </row>
    <row r="19" spans="1:8" x14ac:dyDescent="0.3">
      <c r="A19" s="11" t="s">
        <v>140</v>
      </c>
      <c r="B19" s="11"/>
      <c r="C19" s="11"/>
    </row>
    <row r="20" spans="1:8" x14ac:dyDescent="0.3">
      <c r="A20" s="5" t="s">
        <v>133</v>
      </c>
      <c r="B20" s="5" t="s">
        <v>141</v>
      </c>
      <c r="F20" s="7" t="s">
        <v>147</v>
      </c>
      <c r="G20" s="8" t="s">
        <v>149</v>
      </c>
    </row>
    <row r="21" spans="1:8" x14ac:dyDescent="0.3">
      <c r="A21" s="5" t="s">
        <v>142</v>
      </c>
      <c r="B21" s="5">
        <f>COUNTIF(Table13[Sentiment],"Positive")</f>
        <v>24</v>
      </c>
      <c r="F21" s="9" t="s">
        <v>142</v>
      </c>
      <c r="G21" s="8">
        <v>24</v>
      </c>
    </row>
    <row r="22" spans="1:8" x14ac:dyDescent="0.3">
      <c r="A22" s="5" t="s">
        <v>143</v>
      </c>
      <c r="B22" s="5">
        <f>COUNTIF(Table13[Sentiment],"Neutral")</f>
        <v>6</v>
      </c>
      <c r="F22" s="9" t="s">
        <v>143</v>
      </c>
      <c r="G22" s="8">
        <v>6</v>
      </c>
    </row>
    <row r="23" spans="1:8" x14ac:dyDescent="0.3">
      <c r="A23" s="5" t="s">
        <v>144</v>
      </c>
      <c r="B23" s="5">
        <f>COUNTIF(Table13[Sentiment],"Negative")</f>
        <v>10</v>
      </c>
      <c r="F23" s="9" t="s">
        <v>144</v>
      </c>
      <c r="G23" s="8">
        <v>10</v>
      </c>
    </row>
    <row r="24" spans="1:8" x14ac:dyDescent="0.3">
      <c r="F24" s="9" t="s">
        <v>148</v>
      </c>
      <c r="G24" s="8">
        <v>40</v>
      </c>
    </row>
    <row r="26" spans="1:8" x14ac:dyDescent="0.3">
      <c r="A26" s="11" t="s">
        <v>145</v>
      </c>
      <c r="B26" s="11"/>
      <c r="C26" s="11"/>
    </row>
    <row r="27" spans="1:8" x14ac:dyDescent="0.3">
      <c r="A27" s="5" t="s">
        <v>2</v>
      </c>
      <c r="B27" s="5" t="s">
        <v>146</v>
      </c>
    </row>
    <row r="28" spans="1:8" x14ac:dyDescent="0.3">
      <c r="A28" s="5" t="s">
        <v>9</v>
      </c>
      <c r="B28" s="6">
        <f>AVERAGEIF(CleanData!C:C,Analysis!A28,CleanData!D:D)</f>
        <v>3.8181818181818183</v>
      </c>
    </row>
    <row r="29" spans="1:8" x14ac:dyDescent="0.3">
      <c r="A29" s="5" t="s">
        <v>14</v>
      </c>
      <c r="B29" s="5">
        <f>AVERAGEIF(CleanData!C:C,Analysis!A29,CleanData!D:D)</f>
        <v>3.7</v>
      </c>
    </row>
    <row r="30" spans="1:8" x14ac:dyDescent="0.3">
      <c r="A30" s="5" t="s">
        <v>19</v>
      </c>
      <c r="B30" s="5">
        <f>AVERAGEIF(CleanData!C:C,Analysis!A30,CleanData!D:D)</f>
        <v>3.8</v>
      </c>
    </row>
    <row r="31" spans="1:8" x14ac:dyDescent="0.3">
      <c r="A31" s="5" t="s">
        <v>29</v>
      </c>
      <c r="B31" s="5">
        <f>AVERAGEIF(CleanData!C:C,Analysis!A31,CleanData!D:D)</f>
        <v>3</v>
      </c>
    </row>
  </sheetData>
  <mergeCells count="4">
    <mergeCell ref="A12:C12"/>
    <mergeCell ref="A19:C19"/>
    <mergeCell ref="A1:C1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CleanData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2026-08-10T14:25:56Z</dcterms:created>
  <dcterms:modified xsi:type="dcterms:W3CDTF">2026-08-11T20:29:40Z</dcterms:modified>
</cp:coreProperties>
</file>