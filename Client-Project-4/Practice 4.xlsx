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0" documentId="8_{1D3E6635-7AA0-4483-90C9-CBE6875B467C}" xr6:coauthVersionLast="47" xr6:coauthVersionMax="47" xr10:uidLastSave="{00000000-0000-0000-0000-000000000000}"/>
  <bookViews>
    <workbookView xWindow="-110" yWindow="-110" windowWidth="19420" windowHeight="12220" xr2:uid="{D422BFCB-67CA-405B-B1D3-909D3701F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4" i="1" l="1"/>
  <c r="E33" i="1"/>
  <c r="E30" i="1"/>
  <c r="E29" i="1"/>
  <c r="E28" i="1"/>
  <c r="M10" i="1"/>
  <c r="N10" i="1" s="1" a="1"/>
  <c r="N10" i="1" s="1"/>
  <c r="M14" i="1"/>
  <c r="M18" i="1"/>
  <c r="N18" i="1" s="1" a="1"/>
  <c r="N18" i="1" s="1"/>
  <c r="N14" i="1" a="1"/>
  <c r="N14" i="1" s="1"/>
  <c r="L15" i="1"/>
  <c r="K8" i="1"/>
  <c r="M8" i="1" s="1"/>
  <c r="N8" i="1" s="1" a="1"/>
  <c r="N8" i="1" s="1"/>
  <c r="K9" i="1"/>
  <c r="L9" i="1" s="1"/>
  <c r="K10" i="1"/>
  <c r="L10" i="1" s="1"/>
  <c r="K11" i="1"/>
  <c r="M11" i="1" s="1"/>
  <c r="N11" i="1" s="1" a="1"/>
  <c r="N11" i="1" s="1"/>
  <c r="K12" i="1"/>
  <c r="M12" i="1" s="1"/>
  <c r="N12" i="1" s="1" a="1"/>
  <c r="N12" i="1" s="1"/>
  <c r="K13" i="1"/>
  <c r="M13" i="1" s="1"/>
  <c r="N13" i="1" s="1" a="1"/>
  <c r="N13" i="1" s="1"/>
  <c r="K14" i="1"/>
  <c r="L14" i="1" s="1"/>
  <c r="K15" i="1"/>
  <c r="M15" i="1" s="1"/>
  <c r="N15" i="1" s="1" a="1"/>
  <c r="N15" i="1" s="1"/>
  <c r="K16" i="1"/>
  <c r="L16" i="1" s="1"/>
  <c r="K17" i="1"/>
  <c r="L17" i="1" s="1"/>
  <c r="K18" i="1"/>
  <c r="L18" i="1" s="1"/>
  <c r="K19" i="1"/>
  <c r="M19" i="1" s="1"/>
  <c r="N19" i="1" s="1" a="1"/>
  <c r="N19" i="1" s="1"/>
  <c r="K20" i="1"/>
  <c r="M20" i="1" s="1"/>
  <c r="N20" i="1" s="1" a="1"/>
  <c r="N20" i="1" s="1"/>
  <c r="K21" i="1"/>
  <c r="M21" i="1" s="1"/>
  <c r="N21" i="1" s="1" a="1"/>
  <c r="N21" i="1" s="1"/>
  <c r="K7" i="1"/>
  <c r="M17" i="1" l="1"/>
  <c r="N17" i="1" s="1" a="1"/>
  <c r="N17" i="1" s="1"/>
  <c r="M16" i="1"/>
  <c r="N16" i="1" s="1" a="1"/>
  <c r="N16" i="1" s="1"/>
  <c r="E27" i="1"/>
  <c r="L13" i="1"/>
  <c r="L12" i="1"/>
  <c r="L11" i="1"/>
  <c r="L7" i="1"/>
  <c r="M7" i="1"/>
  <c r="L21" i="1"/>
  <c r="L8" i="1"/>
  <c r="M9" i="1"/>
  <c r="N9" i="1" s="1" a="1"/>
  <c r="N9" i="1" s="1"/>
  <c r="L20" i="1"/>
  <c r="L19" i="1"/>
  <c r="E32" i="1" l="1"/>
  <c r="N7" i="1" a="1"/>
  <c r="N7" i="1" s="1"/>
  <c r="E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<sst xmlns="http://schemas.openxmlformats.org/spreadsheetml/2006/main" count="85" uniqueCount="74">
  <si>
    <t>Invoice Date</t>
  </si>
  <si>
    <t>Invoice ID</t>
  </si>
  <si>
    <t>Customer Name</t>
  </si>
  <si>
    <t>Service</t>
  </si>
  <si>
    <t>Invoice Amount</t>
  </si>
  <si>
    <t>Tax ($)</t>
  </si>
  <si>
    <t>Discount ($)</t>
  </si>
  <si>
    <t>Paid Amount</t>
  </si>
  <si>
    <t>Due Date</t>
  </si>
  <si>
    <t>Payment Method</t>
  </si>
  <si>
    <t>INV-101</t>
  </si>
  <si>
    <t>Amina Khan</t>
  </si>
  <si>
    <t>Website Design</t>
  </si>
  <si>
    <t>Bank Transfer</t>
  </si>
  <si>
    <t>INV-102</t>
  </si>
  <si>
    <t>John Miller</t>
  </si>
  <si>
    <t>Logo Design</t>
  </si>
  <si>
    <t>Cash</t>
  </si>
  <si>
    <t>INV-103</t>
  </si>
  <si>
    <t>Sara Ali</t>
  </si>
  <si>
    <t>Social Media Setup</t>
  </si>
  <si>
    <t>INV-104</t>
  </si>
  <si>
    <t>Omar Hassan</t>
  </si>
  <si>
    <t>Flyer Design</t>
  </si>
  <si>
    <t>Unpaid</t>
  </si>
  <si>
    <t>INV-105</t>
  </si>
  <si>
    <t>Lina Noor</t>
  </si>
  <si>
    <t>Poster Design</t>
  </si>
  <si>
    <t>Card</t>
  </si>
  <si>
    <t>INV-106</t>
  </si>
  <si>
    <t>Ali Rahman</t>
  </si>
  <si>
    <t>Business Card Design</t>
  </si>
  <si>
    <t>INV-107</t>
  </si>
  <si>
    <t>Maya Ahmed</t>
  </si>
  <si>
    <t>Banner Design</t>
  </si>
  <si>
    <t>INV-108</t>
  </si>
  <si>
    <t>Noor Fatima</t>
  </si>
  <si>
    <t>Presentation Design</t>
  </si>
  <si>
    <t>INV-109</t>
  </si>
  <si>
    <t>Hassan Malik</t>
  </si>
  <si>
    <t>Brochure Design</t>
  </si>
  <si>
    <t>INV-110</t>
  </si>
  <si>
    <t>Zainab Yusuf</t>
  </si>
  <si>
    <t>Instagram Ad Creative</t>
  </si>
  <si>
    <t>INV-111</t>
  </si>
  <si>
    <t>Bilal Khan</t>
  </si>
  <si>
    <t>Website Banner</t>
  </si>
  <si>
    <t>INV-112</t>
  </si>
  <si>
    <t>Fatima Noor</t>
  </si>
  <si>
    <t>Email Signature Design</t>
  </si>
  <si>
    <t>INV-113</t>
  </si>
  <si>
    <t>Usman Ali</t>
  </si>
  <si>
    <t>Menu Design</t>
  </si>
  <si>
    <t>INV-114</t>
  </si>
  <si>
    <t>Huda Ahmed</t>
  </si>
  <si>
    <t>Event Poster</t>
  </si>
  <si>
    <t>INV-115</t>
  </si>
  <si>
    <t>Salman Raza</t>
  </si>
  <si>
    <t>Business Profile Design</t>
  </si>
  <si>
    <t>Net Invoice Amount</t>
  </si>
  <si>
    <t>Balance Due</t>
  </si>
  <si>
    <t>Invoice Status</t>
  </si>
  <si>
    <t>Payment Remark</t>
  </si>
  <si>
    <t>Summary</t>
  </si>
  <si>
    <t>Value</t>
  </si>
  <si>
    <t>Total Invoice Amount</t>
  </si>
  <si>
    <t>Total Tax</t>
  </si>
  <si>
    <t>Total Discount</t>
  </si>
  <si>
    <t>Total Paid Amount</t>
  </si>
  <si>
    <t>Total Balance Due</t>
  </si>
  <si>
    <t>Number of Paid Invoices</t>
  </si>
  <si>
    <t>Number of Partial Invoices</t>
  </si>
  <si>
    <t>Number of Unpaid Invoices</t>
  </si>
  <si>
    <t>Customer Invoice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</si>
</sst>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2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/>
    <xf numFmtId="0" fontId="5" fillId="0" borderId="0" xfId="0" applyFont="1"/>
    <xf numFmtId="44" fontId="0" fillId="0" borderId="0" xfId="1" applyNumberFormat="1" applyFont="1" applyAlignment="1">
      <alignment horizontal="right" vertical="center" wrapText="1"/>
    </xf>
    <xf numFmtId="44" fontId="0" fillId="0" borderId="0" xfId="1" applyFont="1"/>
  </cellXfs>
  <cellStyles count="3">
    <cellStyle name="Accent4" xfId="2" builtinId="41"/>
    <cellStyle name="Currency" xfId="1" builtinId="4"/>
    <cellStyle name="Normal" xfId="0" builtinId="0"/>
  </cellStyles>
  <dxfs count="2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34" formatCode="_(&quot;$&quot;* #,##0.00_);_(&quot;$&quot;* \(#,##0.00\);_(&quot;$&quot;* &quot;-&quot;??_);_(@_)"/>
      <alignment horizontal="right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right" vertical="center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right" vertical="center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i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9BB206-FB34-4B86-9501-45C19F1AA863}" name="Table1" displayName="Table1" ref="A6:N21" totalsRowShown="0" headerRowDxfId="14">
  <autoFilter ref="A6:N21" xr:uid="{2D9BB206-FB34-4B86-9501-45C19F1AA86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97C54C43-6707-488B-BF55-921261774F6B}" name="Invoice Date" dataDxfId="18"/>
    <tableColumn id="2" xr3:uid="{8705C42E-E4FD-4332-85EF-45827078B5A0}" name="Invoice ID" dataDxfId="17"/>
    <tableColumn id="3" xr3:uid="{ECCAF0E7-002B-467E-8A6E-4A34127A2AD0}" name="Customer Name" dataDxfId="16"/>
    <tableColumn id="4" xr3:uid="{8FC10711-C848-4AB3-9B7B-1B8A6FBC510E}" name="Service" dataDxfId="12"/>
    <tableColumn id="5" xr3:uid="{7ACE4638-A124-4810-B720-75B15EF6BD37}" name="Invoice Amount" dataDxfId="11" dataCellStyle="Currency"/>
    <tableColumn id="6" xr3:uid="{16874FC5-59BF-4100-9D5D-0FFFF7018D40}" name="Tax ($)" dataDxfId="10" dataCellStyle="Currency"/>
    <tableColumn id="7" xr3:uid="{CC5D9194-1453-4E1D-848E-23BFD8AEFBD1}" name="Discount ($)" dataDxfId="9" dataCellStyle="Currency"/>
    <tableColumn id="8" xr3:uid="{F6CBAC7A-9BB7-4669-AC70-EA4ADCC615F5}" name="Paid Amount" dataDxfId="7" dataCellStyle="Currency"/>
    <tableColumn id="9" xr3:uid="{846482CB-EB61-4C44-AC32-FF1878385335}" name="Due Date" dataDxfId="8"/>
    <tableColumn id="10" xr3:uid="{7E6651DC-27F4-474B-AF7A-722C23423ABC}" name="Payment Method" dataDxfId="15"/>
    <tableColumn id="11" xr3:uid="{11EA985A-763D-4CAB-BAB8-A33B02594A07}" name="Net Invoice Amount" dataCellStyle="Currency">
      <calculatedColumnFormula>E7+F7-G7</calculatedColumnFormula>
    </tableColumn>
    <tableColumn id="12" xr3:uid="{83657E50-EACF-480D-BF95-8DC118491CC6}" name="Balance Due" dataCellStyle="Currency">
      <calculatedColumnFormula>K7-H7</calculatedColumnFormula>
    </tableColumn>
    <tableColumn id="13" xr3:uid="{508CFBD2-3F36-4117-8E7C-5707DFFE4E5B}" name="Invoice Status">
      <calculatedColumnFormula>IF(H7=0,"Unpaid",IF(K7=H7,"Paid","Partial"))</calculatedColumnFormula>
    </tableColumn>
    <tableColumn id="14" xr3:uid="{18C9E63E-1A00-4AE3-B492-627FCBDF593A}" name="Payment Remark">
      <calculatedColumnFormula array="1">_xlfn.IFS(M7="Paid","No Action Needed",M7="Partial","Follow-Up",M7="Unpaid","Send Reminder")</calculatedColumnFormula>
    </tableColumn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A391DE-9CB6-48D3-A3D3-C92493CDB8F4}" name="Table2" displayName="Table2" ref="D26:E34" headerRowDxfId="13">
  <autoFilter ref="D26:E34" xr:uid="{6CA391DE-9CB6-48D3-A3D3-C92493CDB8F4}">
    <filterColumn colId="0" hiddenButton="1"/>
    <filterColumn colId="1" hiddenButton="1"/>
  </autoFilter>
  <tableColumns count="2">
    <tableColumn id="1" xr3:uid="{098DEE27-AB20-4447-937F-45D5431F26F0}" name="Summary" totalsRowLabel="Total"/>
    <tableColumn id="2" xr3:uid="{E844F71C-0DE5-48BC-883A-67192BDA0815}" name="Value" totalsRowFunction="sum"/>
  </tableColumns>
  <tableStyleInfo name="TableStyleMedium5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428B9-EBCF-4348-BB0F-83CDD67EB6D9}">
  <dimension ref="A1:N34"/>
  <sheetViews>
    <sheetView tabSelected="1" topLeftCell="A10" zoomScale="93" workbookViewId="0">
      <selection activeCell="E35" sqref="E35"/>
    </sheetView>
  </sheetViews>
  <sheetFormatPr defaultRowHeight="14.5" x14ac:dyDescent="0.35"/>
  <cols>
    <col min="1" max="1" width="13.26953125" customWidth="1"/>
    <col min="2" max="2" width="11.1796875" customWidth="1"/>
    <col min="3" max="3" width="16.6328125" customWidth="1"/>
    <col min="4" max="4" width="23.6328125" customWidth="1"/>
    <col min="5" max="5" width="15.90625" customWidth="1"/>
    <col min="6" max="6" width="10.1796875" customWidth="1"/>
    <col min="7" max="7" width="13.08984375" customWidth="1"/>
    <col min="8" max="8" width="13.6328125" customWidth="1"/>
    <col min="9" max="9" width="11.36328125" customWidth="1"/>
    <col min="10" max="10" width="17.08984375" customWidth="1"/>
    <col min="11" max="11" width="19.36328125" customWidth="1"/>
    <col min="12" max="12" width="13.26953125" customWidth="1"/>
    <col min="13" max="13" width="14.81640625" customWidth="1"/>
    <col min="14" max="14" width="17.26953125" customWidth="1"/>
  </cols>
  <sheetData>
    <row r="1" spans="1:14" ht="34.5" x14ac:dyDescent="0.8">
      <c r="A1" s="3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6" spans="1:14" s="7" customFormat="1" x14ac:dyDescent="0.35">
      <c r="A6" s="4" t="s">
        <v>0</v>
      </c>
      <c r="B6" s="4" t="s">
        <v>1</v>
      </c>
      <c r="C6" s="4" t="s">
        <v>2</v>
      </c>
      <c r="D6" s="4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4" t="s">
        <v>8</v>
      </c>
      <c r="J6" s="4" t="s">
        <v>9</v>
      </c>
      <c r="K6" s="6" t="s">
        <v>59</v>
      </c>
      <c r="L6" s="6" t="s">
        <v>60</v>
      </c>
      <c r="M6" s="6" t="s">
        <v>61</v>
      </c>
      <c r="N6" s="6" t="s">
        <v>62</v>
      </c>
    </row>
    <row r="7" spans="1:14" x14ac:dyDescent="0.35">
      <c r="A7" s="1">
        <v>46204</v>
      </c>
      <c r="B7" s="2" t="s">
        <v>10</v>
      </c>
      <c r="C7" s="2" t="s">
        <v>11</v>
      </c>
      <c r="D7" s="2" t="s">
        <v>12</v>
      </c>
      <c r="E7" s="8">
        <v>500</v>
      </c>
      <c r="F7" s="8">
        <v>25</v>
      </c>
      <c r="G7" s="8">
        <v>0</v>
      </c>
      <c r="H7" s="8">
        <v>525</v>
      </c>
      <c r="I7" s="1">
        <v>46208</v>
      </c>
      <c r="J7" s="2" t="s">
        <v>13</v>
      </c>
      <c r="K7" s="9">
        <f>E7+F7-G7</f>
        <v>525</v>
      </c>
      <c r="L7" s="9">
        <f>K7-H7</f>
        <v>0</v>
      </c>
      <c r="M7" t="str">
        <f>IF(H7=0,"Unpaid",IF(K7=H7,"Paid","Partial"))</f>
        <v>Paid</v>
      </c>
      <c r="N7" t="str" cm="1">
        <f t="array" ref="N7">_xlfn.IFS(M7="Paid","No Action Needed",M7="Partial","Follow-Up",M7="Unpaid","Send Reminder")</f>
        <v>No Action Needed</v>
      </c>
    </row>
    <row r="8" spans="1:14" x14ac:dyDescent="0.35">
      <c r="A8" s="1">
        <v>46205</v>
      </c>
      <c r="B8" s="2" t="s">
        <v>14</v>
      </c>
      <c r="C8" s="2" t="s">
        <v>15</v>
      </c>
      <c r="D8" s="2" t="s">
        <v>16</v>
      </c>
      <c r="E8" s="8">
        <v>250</v>
      </c>
      <c r="F8" s="8">
        <v>12</v>
      </c>
      <c r="G8" s="8">
        <v>10</v>
      </c>
      <c r="H8" s="8">
        <v>150</v>
      </c>
      <c r="I8" s="1">
        <v>46211</v>
      </c>
      <c r="J8" s="2" t="s">
        <v>17</v>
      </c>
      <c r="K8" s="9">
        <f t="shared" ref="K8:K21" si="0">E8+F8-G8</f>
        <v>252</v>
      </c>
      <c r="L8" s="9">
        <f t="shared" ref="L8:L21" si="1">K8-H8</f>
        <v>102</v>
      </c>
      <c r="M8" t="str">
        <f t="shared" ref="M8:M21" si="2">IF(H8=0,"Unpaid",IF(K8=H8,"Paid","Partial"))</f>
        <v>Partial</v>
      </c>
      <c r="N8" t="str" cm="1">
        <f t="array" ref="N8">_xlfn.IFS(M8="Paid","No Action Needed",M8="Partial","Follow-Up",M8="Unpaid","Send Reminder")</f>
        <v>Follow-Up</v>
      </c>
    </row>
    <row r="9" spans="1:14" x14ac:dyDescent="0.35">
      <c r="A9" s="1">
        <v>46206</v>
      </c>
      <c r="B9" s="2" t="s">
        <v>18</v>
      </c>
      <c r="C9" s="2" t="s">
        <v>19</v>
      </c>
      <c r="D9" s="2" t="s">
        <v>20</v>
      </c>
      <c r="E9" s="8">
        <v>300</v>
      </c>
      <c r="F9" s="8">
        <v>15</v>
      </c>
      <c r="G9" s="8">
        <v>0</v>
      </c>
      <c r="H9" s="8">
        <v>315</v>
      </c>
      <c r="I9" s="1">
        <v>46213</v>
      </c>
      <c r="J9" s="2" t="s">
        <v>13</v>
      </c>
      <c r="K9" s="9">
        <f t="shared" si="0"/>
        <v>315</v>
      </c>
      <c r="L9" s="9">
        <f t="shared" si="1"/>
        <v>0</v>
      </c>
      <c r="M9" t="str">
        <f t="shared" si="2"/>
        <v>Paid</v>
      </c>
      <c r="N9" t="str" cm="1">
        <f t="array" ref="N9">_xlfn.IFS(M9="Paid","No Action Needed",M9="Partial","Follow-Up",M9="Unpaid","Send Reminder")</f>
        <v>No Action Needed</v>
      </c>
    </row>
    <row r="10" spans="1:14" x14ac:dyDescent="0.35">
      <c r="A10" s="1">
        <v>46207</v>
      </c>
      <c r="B10" s="2" t="s">
        <v>21</v>
      </c>
      <c r="C10" s="2" t="s">
        <v>22</v>
      </c>
      <c r="D10" s="2" t="s">
        <v>23</v>
      </c>
      <c r="E10" s="8">
        <v>180</v>
      </c>
      <c r="F10" s="8">
        <v>9</v>
      </c>
      <c r="G10" s="8">
        <v>5</v>
      </c>
      <c r="H10" s="8">
        <v>0</v>
      </c>
      <c r="I10" s="1">
        <v>46215</v>
      </c>
      <c r="J10" s="2" t="s">
        <v>24</v>
      </c>
      <c r="K10" s="9">
        <f t="shared" si="0"/>
        <v>184</v>
      </c>
      <c r="L10" s="9">
        <f t="shared" si="1"/>
        <v>184</v>
      </c>
      <c r="M10" t="str">
        <f t="shared" si="2"/>
        <v>Unpaid</v>
      </c>
      <c r="N10" t="str" cm="1">
        <f t="array" ref="N10">_xlfn.IFS(M10="Paid","No Action Needed",M10="Partial","Follow-Up",M10="Unpaid","Send Reminder")</f>
        <v>Send Reminder</v>
      </c>
    </row>
    <row r="11" spans="1:14" x14ac:dyDescent="0.35">
      <c r="A11" s="1">
        <v>46208</v>
      </c>
      <c r="B11" s="2" t="s">
        <v>25</v>
      </c>
      <c r="C11" s="2" t="s">
        <v>26</v>
      </c>
      <c r="D11" s="2" t="s">
        <v>27</v>
      </c>
      <c r="E11" s="8">
        <v>220</v>
      </c>
      <c r="F11" s="8">
        <v>11</v>
      </c>
      <c r="G11" s="8">
        <v>0</v>
      </c>
      <c r="H11" s="8">
        <v>231</v>
      </c>
      <c r="I11" s="1">
        <v>46218</v>
      </c>
      <c r="J11" s="2" t="s">
        <v>28</v>
      </c>
      <c r="K11" s="9">
        <f t="shared" si="0"/>
        <v>231</v>
      </c>
      <c r="L11" s="9">
        <f t="shared" si="1"/>
        <v>0</v>
      </c>
      <c r="M11" t="str">
        <f t="shared" si="2"/>
        <v>Paid</v>
      </c>
      <c r="N11" t="str" cm="1">
        <f t="array" ref="N11">_xlfn.IFS(M11="Paid","No Action Needed",M11="Partial","Follow-Up",M11="Unpaid","Send Reminder")</f>
        <v>No Action Needed</v>
      </c>
    </row>
    <row r="12" spans="1:14" x14ac:dyDescent="0.35">
      <c r="A12" s="1">
        <v>46209</v>
      </c>
      <c r="B12" s="2" t="s">
        <v>29</v>
      </c>
      <c r="C12" s="2" t="s">
        <v>30</v>
      </c>
      <c r="D12" s="2" t="s">
        <v>31</v>
      </c>
      <c r="E12" s="8">
        <v>120</v>
      </c>
      <c r="F12" s="8">
        <v>6</v>
      </c>
      <c r="G12" s="8">
        <v>0</v>
      </c>
      <c r="H12" s="8">
        <v>80</v>
      </c>
      <c r="I12" s="1">
        <v>46221</v>
      </c>
      <c r="J12" s="2" t="s">
        <v>28</v>
      </c>
      <c r="K12" s="9">
        <f t="shared" si="0"/>
        <v>126</v>
      </c>
      <c r="L12" s="9">
        <f t="shared" si="1"/>
        <v>46</v>
      </c>
      <c r="M12" t="str">
        <f t="shared" si="2"/>
        <v>Partial</v>
      </c>
      <c r="N12" t="str" cm="1">
        <f t="array" ref="N12">_xlfn.IFS(M12="Paid","No Action Needed",M12="Partial","Follow-Up",M12="Unpaid","Send Reminder")</f>
        <v>Follow-Up</v>
      </c>
    </row>
    <row r="13" spans="1:14" x14ac:dyDescent="0.35">
      <c r="A13" s="1">
        <v>46210</v>
      </c>
      <c r="B13" s="2" t="s">
        <v>32</v>
      </c>
      <c r="C13" s="2" t="s">
        <v>33</v>
      </c>
      <c r="D13" s="2" t="s">
        <v>34</v>
      </c>
      <c r="E13" s="8">
        <v>350</v>
      </c>
      <c r="F13" s="8">
        <v>18</v>
      </c>
      <c r="G13" s="8">
        <v>10</v>
      </c>
      <c r="H13" s="8">
        <v>358</v>
      </c>
      <c r="I13" s="1">
        <v>46223</v>
      </c>
      <c r="J13" s="2" t="s">
        <v>13</v>
      </c>
      <c r="K13" s="9">
        <f t="shared" si="0"/>
        <v>358</v>
      </c>
      <c r="L13" s="9">
        <f t="shared" si="1"/>
        <v>0</v>
      </c>
      <c r="M13" t="str">
        <f t="shared" si="2"/>
        <v>Paid</v>
      </c>
      <c r="N13" t="str" cm="1">
        <f t="array" ref="N13">_xlfn.IFS(M13="Paid","No Action Needed",M13="Partial","Follow-Up",M13="Unpaid","Send Reminder")</f>
        <v>No Action Needed</v>
      </c>
    </row>
    <row r="14" spans="1:14" x14ac:dyDescent="0.35">
      <c r="A14" s="1">
        <v>46211</v>
      </c>
      <c r="B14" s="2" t="s">
        <v>35</v>
      </c>
      <c r="C14" s="2" t="s">
        <v>36</v>
      </c>
      <c r="D14" s="2" t="s">
        <v>37</v>
      </c>
      <c r="E14" s="8">
        <v>200</v>
      </c>
      <c r="F14" s="8">
        <v>10</v>
      </c>
      <c r="G14" s="8">
        <v>0</v>
      </c>
      <c r="H14" s="8">
        <v>0</v>
      </c>
      <c r="I14" s="1">
        <v>46225</v>
      </c>
      <c r="J14" s="2" t="s">
        <v>24</v>
      </c>
      <c r="K14" s="9">
        <f t="shared" si="0"/>
        <v>210</v>
      </c>
      <c r="L14" s="9">
        <f t="shared" si="1"/>
        <v>210</v>
      </c>
      <c r="M14" t="str">
        <f t="shared" si="2"/>
        <v>Unpaid</v>
      </c>
      <c r="N14" t="str" cm="1">
        <f t="array" ref="N14">_xlfn.IFS(M14="Paid","No Action Needed",M14="Partial","Follow-Up",M14="Unpaid","Send Reminder")</f>
        <v>Send Reminder</v>
      </c>
    </row>
    <row r="15" spans="1:14" x14ac:dyDescent="0.35">
      <c r="A15" s="1">
        <v>46212</v>
      </c>
      <c r="B15" s="2" t="s">
        <v>38</v>
      </c>
      <c r="C15" s="2" t="s">
        <v>39</v>
      </c>
      <c r="D15" s="2" t="s">
        <v>40</v>
      </c>
      <c r="E15" s="8">
        <v>275</v>
      </c>
      <c r="F15" s="8">
        <v>14</v>
      </c>
      <c r="G15" s="8">
        <v>0</v>
      </c>
      <c r="H15" s="8">
        <v>289</v>
      </c>
      <c r="I15" s="1">
        <v>46227</v>
      </c>
      <c r="J15" s="2" t="s">
        <v>17</v>
      </c>
      <c r="K15" s="9">
        <f t="shared" si="0"/>
        <v>289</v>
      </c>
      <c r="L15" s="9">
        <f t="shared" si="1"/>
        <v>0</v>
      </c>
      <c r="M15" t="str">
        <f t="shared" si="2"/>
        <v>Paid</v>
      </c>
      <c r="N15" t="str" cm="1">
        <f t="array" ref="N15">_xlfn.IFS(M15="Paid","No Action Needed",M15="Partial","Follow-Up",M15="Unpaid","Send Reminder")</f>
        <v>No Action Needed</v>
      </c>
    </row>
    <row r="16" spans="1:14" x14ac:dyDescent="0.35">
      <c r="A16" s="1">
        <v>46213</v>
      </c>
      <c r="B16" s="2" t="s">
        <v>41</v>
      </c>
      <c r="C16" s="2" t="s">
        <v>42</v>
      </c>
      <c r="D16" s="2" t="s">
        <v>43</v>
      </c>
      <c r="E16" s="8">
        <v>190</v>
      </c>
      <c r="F16" s="8">
        <v>10</v>
      </c>
      <c r="G16" s="8">
        <v>5</v>
      </c>
      <c r="H16" s="8">
        <v>100</v>
      </c>
      <c r="I16" s="1">
        <v>46229</v>
      </c>
      <c r="J16" s="2" t="s">
        <v>28</v>
      </c>
      <c r="K16" s="9">
        <f t="shared" si="0"/>
        <v>195</v>
      </c>
      <c r="L16" s="9">
        <f t="shared" si="1"/>
        <v>95</v>
      </c>
      <c r="M16" t="str">
        <f t="shared" si="2"/>
        <v>Partial</v>
      </c>
      <c r="N16" t="str" cm="1">
        <f t="array" ref="N16">_xlfn.IFS(M16="Paid","No Action Needed",M16="Partial","Follow-Up",M16="Unpaid","Send Reminder")</f>
        <v>Follow-Up</v>
      </c>
    </row>
    <row r="17" spans="1:14" x14ac:dyDescent="0.35">
      <c r="A17" s="1">
        <v>46214</v>
      </c>
      <c r="B17" s="2" t="s">
        <v>44</v>
      </c>
      <c r="C17" s="2" t="s">
        <v>45</v>
      </c>
      <c r="D17" s="2" t="s">
        <v>46</v>
      </c>
      <c r="E17" s="8">
        <v>160</v>
      </c>
      <c r="F17" s="8">
        <v>8</v>
      </c>
      <c r="G17" s="8">
        <v>0</v>
      </c>
      <c r="H17" s="8">
        <v>168</v>
      </c>
      <c r="I17" s="1">
        <v>46231</v>
      </c>
      <c r="J17" s="2" t="s">
        <v>13</v>
      </c>
      <c r="K17" s="9">
        <f t="shared" si="0"/>
        <v>168</v>
      </c>
      <c r="L17" s="9">
        <f t="shared" si="1"/>
        <v>0</v>
      </c>
      <c r="M17" t="str">
        <f t="shared" si="2"/>
        <v>Paid</v>
      </c>
      <c r="N17" t="str" cm="1">
        <f t="array" ref="N17">_xlfn.IFS(M17="Paid","No Action Needed",M17="Partial","Follow-Up",M17="Unpaid","Send Reminder")</f>
        <v>No Action Needed</v>
      </c>
    </row>
    <row r="18" spans="1:14" x14ac:dyDescent="0.35">
      <c r="A18" s="1">
        <v>46215</v>
      </c>
      <c r="B18" s="2" t="s">
        <v>47</v>
      </c>
      <c r="C18" s="2" t="s">
        <v>48</v>
      </c>
      <c r="D18" s="2" t="s">
        <v>49</v>
      </c>
      <c r="E18" s="8">
        <v>90</v>
      </c>
      <c r="F18" s="8">
        <v>5</v>
      </c>
      <c r="G18" s="8">
        <v>0</v>
      </c>
      <c r="H18" s="8">
        <v>0</v>
      </c>
      <c r="I18" s="1">
        <v>46232</v>
      </c>
      <c r="J18" s="2" t="s">
        <v>24</v>
      </c>
      <c r="K18" s="9">
        <f t="shared" si="0"/>
        <v>95</v>
      </c>
      <c r="L18" s="9">
        <f t="shared" si="1"/>
        <v>95</v>
      </c>
      <c r="M18" t="str">
        <f t="shared" si="2"/>
        <v>Unpaid</v>
      </c>
      <c r="N18" t="str" cm="1">
        <f t="array" ref="N18">_xlfn.IFS(M18="Paid","No Action Needed",M18="Partial","Follow-Up",M18="Unpaid","Send Reminder")</f>
        <v>Send Reminder</v>
      </c>
    </row>
    <row r="19" spans="1:14" x14ac:dyDescent="0.35">
      <c r="A19" s="1">
        <v>46216</v>
      </c>
      <c r="B19" s="2" t="s">
        <v>50</v>
      </c>
      <c r="C19" s="2" t="s">
        <v>51</v>
      </c>
      <c r="D19" s="2" t="s">
        <v>52</v>
      </c>
      <c r="E19" s="8">
        <v>240</v>
      </c>
      <c r="F19" s="8">
        <v>12</v>
      </c>
      <c r="G19" s="8">
        <v>0</v>
      </c>
      <c r="H19" s="8">
        <v>246</v>
      </c>
      <c r="I19" s="1">
        <v>46233</v>
      </c>
      <c r="J19" s="2" t="s">
        <v>17</v>
      </c>
      <c r="K19" s="9">
        <f t="shared" si="0"/>
        <v>252</v>
      </c>
      <c r="L19" s="9">
        <f t="shared" si="1"/>
        <v>6</v>
      </c>
      <c r="M19" t="str">
        <f t="shared" si="2"/>
        <v>Partial</v>
      </c>
      <c r="N19" t="str" cm="1">
        <f t="array" ref="N19">_xlfn.IFS(M19="Paid","No Action Needed",M19="Partial","Follow-Up",M19="Unpaid","Send Reminder")</f>
        <v>Follow-Up</v>
      </c>
    </row>
    <row r="20" spans="1:14" x14ac:dyDescent="0.35">
      <c r="A20" s="1">
        <v>46217</v>
      </c>
      <c r="B20" s="2" t="s">
        <v>53</v>
      </c>
      <c r="C20" s="2" t="s">
        <v>54</v>
      </c>
      <c r="D20" s="2" t="s">
        <v>55</v>
      </c>
      <c r="E20" s="8">
        <v>210</v>
      </c>
      <c r="F20" s="8">
        <v>11</v>
      </c>
      <c r="G20" s="8">
        <v>0</v>
      </c>
      <c r="H20" s="8">
        <v>120</v>
      </c>
      <c r="I20" s="1">
        <v>46235</v>
      </c>
      <c r="J20" s="2" t="s">
        <v>28</v>
      </c>
      <c r="K20" s="9">
        <f t="shared" si="0"/>
        <v>221</v>
      </c>
      <c r="L20" s="9">
        <f t="shared" si="1"/>
        <v>101</v>
      </c>
      <c r="M20" t="str">
        <f t="shared" si="2"/>
        <v>Partial</v>
      </c>
      <c r="N20" t="str" cm="1">
        <f t="array" ref="N20">_xlfn.IFS(M20="Paid","No Action Needed",M20="Partial","Follow-Up",M20="Unpaid","Send Reminder")</f>
        <v>Follow-Up</v>
      </c>
    </row>
    <row r="21" spans="1:14" x14ac:dyDescent="0.35">
      <c r="A21" s="1">
        <v>46218</v>
      </c>
      <c r="B21" s="2" t="s">
        <v>56</v>
      </c>
      <c r="C21" s="2" t="s">
        <v>57</v>
      </c>
      <c r="D21" s="2" t="s">
        <v>58</v>
      </c>
      <c r="E21" s="8">
        <v>320</v>
      </c>
      <c r="F21" s="8">
        <v>16</v>
      </c>
      <c r="G21" s="8">
        <v>15</v>
      </c>
      <c r="H21" s="8">
        <v>321</v>
      </c>
      <c r="I21" s="1">
        <v>46237</v>
      </c>
      <c r="J21" s="2" t="s">
        <v>13</v>
      </c>
      <c r="K21" s="9">
        <f t="shared" si="0"/>
        <v>321</v>
      </c>
      <c r="L21" s="9">
        <f t="shared" si="1"/>
        <v>0</v>
      </c>
      <c r="M21" t="str">
        <f t="shared" si="2"/>
        <v>Paid</v>
      </c>
      <c r="N21" t="str" cm="1">
        <f t="array" ref="N21">_xlfn.IFS(M21="Paid","No Action Needed",M21="Partial","Follow-Up",M21="Unpaid","Send Reminder")</f>
        <v>No Action Needed</v>
      </c>
    </row>
    <row r="26" spans="1:14" s="7" customFormat="1" x14ac:dyDescent="0.35">
      <c r="D26" s="7" t="s">
        <v>63</v>
      </c>
      <c r="E26" s="7" t="s">
        <v>64</v>
      </c>
    </row>
    <row r="27" spans="1:14" x14ac:dyDescent="0.35">
      <c r="D27" t="s">
        <v>65</v>
      </c>
      <c r="E27">
        <f>SUM(K7:K21)</f>
        <v>3742</v>
      </c>
    </row>
    <row r="28" spans="1:14" x14ac:dyDescent="0.35">
      <c r="D28" t="s">
        <v>66</v>
      </c>
      <c r="E28">
        <f>SUM(F7:F21)</f>
        <v>182</v>
      </c>
    </row>
    <row r="29" spans="1:14" x14ac:dyDescent="0.35">
      <c r="D29" t="s">
        <v>67</v>
      </c>
      <c r="E29">
        <f>SUM(G7:G21)</f>
        <v>45</v>
      </c>
    </row>
    <row r="30" spans="1:14" x14ac:dyDescent="0.35">
      <c r="D30" t="s">
        <v>68</v>
      </c>
      <c r="E30">
        <f>SUM(H7:H21)</f>
        <v>2903</v>
      </c>
    </row>
    <row r="31" spans="1:14" x14ac:dyDescent="0.35">
      <c r="D31" t="s">
        <v>69</v>
      </c>
      <c r="E31">
        <f>SUM(L7:L21)</f>
        <v>839</v>
      </c>
    </row>
    <row r="32" spans="1:14" x14ac:dyDescent="0.35">
      <c r="D32" t="s">
        <v>70</v>
      </c>
      <c r="E32">
        <f>COUNTIF(M7:M21,"Paid")</f>
        <v>7</v>
      </c>
    </row>
    <row r="33" spans="4:5" x14ac:dyDescent="0.35">
      <c r="D33" t="s">
        <v>71</v>
      </c>
      <c r="E33">
        <f>COUNTIF(M7:M21,"Partial")</f>
        <v>5</v>
      </c>
    </row>
    <row r="34" spans="4:5" x14ac:dyDescent="0.35">
      <c r="D34" t="s">
        <v>72</v>
      </c>
      <c r="E34">
        <f>COUNTIF(M7:M21,"Unpaid")</f>
        <v>3</v>
      </c>
    </row>
  </sheetData>
  <mergeCells count="1">
    <mergeCell ref="A1:N1"/>
  </mergeCells>
  <conditionalFormatting sqref="M7:M21">
    <cfRule type="containsText" dxfId="0" priority="3" operator="containsText" text="Paid">
      <formula>NOT(ISERROR(SEARCH("Paid",M7)))</formula>
    </cfRule>
    <cfRule type="containsText" dxfId="1" priority="2" operator="containsText" text="Unpaid">
      <formula>NOT(ISERROR(SEARCH("Unpaid",M7)))</formula>
    </cfRule>
    <cfRule type="containsText" dxfId="2" priority="1" operator="containsText" text="Partial">
      <formula>NOT(ISERROR(SEARCH("Partial",M7)))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2026-07-27T14:21:25Z</dcterms:created>
  <dcterms:modified xsi:type="dcterms:W3CDTF">2026-07-27T16:47:04Z</dcterms:modified>
</cp:coreProperties>
</file>