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stedusa-my.sharepoint.com/personal/221220359_student_um_edu_sa/Documents/سطح المكتب/"/>
    </mc:Choice>
  </mc:AlternateContent>
  <xr:revisionPtr revIDLastSave="3" documentId="8_{11B271F8-4AD0-42DF-A72C-78DB358BB285}" xr6:coauthVersionLast="47" xr6:coauthVersionMax="47" xr10:uidLastSave="{D6097A77-6A45-4707-9DF0-DF4120333056}"/>
  <bookViews>
    <workbookView xWindow="-730" yWindow="1670" windowWidth="7500" windowHeight="8710" xr2:uid="{60110852-6DB6-4790-A9FA-BD65616DE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D23" i="1"/>
  <c r="D22" i="1"/>
  <c r="D21" i="1"/>
  <c r="D20" i="1"/>
  <c r="D19" i="1"/>
  <c r="D18" i="1"/>
  <c r="H7" i="1"/>
  <c r="H8" i="1"/>
  <c r="H9" i="1"/>
  <c r="H10" i="1"/>
  <c r="H11" i="1"/>
  <c r="I11" i="1" s="1"/>
  <c r="H12" i="1"/>
  <c r="I12" i="1" s="1"/>
  <c r="H13" i="1"/>
  <c r="H6" i="1"/>
  <c r="G7" i="1"/>
  <c r="G8" i="1"/>
  <c r="G9" i="1"/>
  <c r="G10" i="1"/>
  <c r="G11" i="1"/>
  <c r="G12" i="1"/>
  <c r="G13" i="1"/>
  <c r="I13" i="1" s="1"/>
  <c r="G6" i="1"/>
  <c r="I6" i="1" l="1"/>
  <c r="I10" i="1"/>
  <c r="I7" i="1"/>
  <c r="I9" i="1"/>
  <c r="I8" i="1"/>
</calcChain>
</file>

<file path=xl/sharedStrings.xml><?xml version="1.0" encoding="utf-8"?>
<sst xmlns="http://schemas.openxmlformats.org/spreadsheetml/2006/main" count="45" uniqueCount="42">
  <si>
    <t>Employee ID</t>
  </si>
  <si>
    <t>Employee Name</t>
  </si>
  <si>
    <t>Department</t>
  </si>
  <si>
    <t>Days Worked</t>
  </si>
  <si>
    <t>Daily Salary ($)</t>
  </si>
  <si>
    <t>Overtime Hours</t>
  </si>
  <si>
    <t>E001</t>
  </si>
  <si>
    <t>Ahmed Ali</t>
  </si>
  <si>
    <t>IT</t>
  </si>
  <si>
    <t>E002</t>
  </si>
  <si>
    <t>Sara Khan</t>
  </si>
  <si>
    <t>HR</t>
  </si>
  <si>
    <t>E003</t>
  </si>
  <si>
    <t>Omar Hassan</t>
  </si>
  <si>
    <t>Finance</t>
  </si>
  <si>
    <t>E004</t>
  </si>
  <si>
    <t>Lina Noor</t>
  </si>
  <si>
    <t>Marketing</t>
  </si>
  <si>
    <t>E005</t>
  </si>
  <si>
    <t>John Smith</t>
  </si>
  <si>
    <t>E006</t>
  </si>
  <si>
    <t>Maya Ahmed</t>
  </si>
  <si>
    <t>Sales</t>
  </si>
  <si>
    <t>E007</t>
  </si>
  <si>
    <t>Ali Rahman</t>
  </si>
  <si>
    <t>E008</t>
  </si>
  <si>
    <t>Noor Fatima</t>
  </si>
  <si>
    <t>Base Salary</t>
  </si>
  <si>
    <t>Overtime pay/h ($)</t>
  </si>
  <si>
    <t>Overtime Pay</t>
  </si>
  <si>
    <t>Total Salary</t>
  </si>
  <si>
    <t>Attendance Status</t>
  </si>
  <si>
    <t>Summary</t>
  </si>
  <si>
    <t>Value</t>
  </si>
  <si>
    <t>Total Employees</t>
  </si>
  <si>
    <t>Total Base Salary</t>
  </si>
  <si>
    <t>Total Overtime Pay</t>
  </si>
  <si>
    <t>Total Salary Paid</t>
  </si>
  <si>
    <t>Highest Salary</t>
  </si>
  <si>
    <t>Lowest Salary</t>
  </si>
  <si>
    <t xml:space="preserve"> </t>
  </si>
  <si>
    <t>Employee Attendance &amp;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</si>
</sst>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3" fillId="3" borderId="0" applyNumberFormat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2" borderId="1" xfId="2" applyFont="1"/>
    <xf numFmtId="44" fontId="0" fillId="0" borderId="0" xfId="1" applyFont="1" applyAlignment="1">
      <alignment horizontal="right" vertical="center" wrapText="1"/>
    </xf>
    <xf numFmtId="44" fontId="0" fillId="0" borderId="0" xfId="1" applyFont="1"/>
    <xf numFmtId="0" fontId="4" fillId="3" borderId="0" xfId="3" applyFont="1" applyAlignment="1">
      <alignment horizontal="center"/>
    </xf>
  </cellXfs>
  <cellStyles count="4">
    <cellStyle name="Accent3" xfId="3" builtinId="37"/>
    <cellStyle name="Currency" xfId="1" builtinId="4"/>
    <cellStyle name="Normal" xfId="0" builtinId="0"/>
    <cellStyle name="Note" xfId="2" builtinId="10"/>
  </cellStyles>
  <dxfs count="7"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0B8DFD-5EC6-4D9B-8D15-E1A2A2CF7CCD}" name="Table1" displayName="Table1" ref="A5:J13" totalsRowShown="0" headerRowDxfId="6">
  <autoFilter ref="A5:J13" xr:uid="{EF0B8DFD-5EC6-4D9B-8D15-E1A2A2CF7C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4D8F159-7B29-4825-9C0D-64B3352A1268}" name="Employee ID" dataDxfId="5"/>
    <tableColumn id="2" xr3:uid="{D2D938FB-3B98-4A8B-AA93-9426116DCCCA}" name="Employee Name" dataDxfId="4"/>
    <tableColumn id="3" xr3:uid="{8807AEC4-8D71-4F85-9049-B8A2F696F10E}" name="Department" dataDxfId="3"/>
    <tableColumn id="4" xr3:uid="{0B805785-94B6-4620-8684-CACCC9F5C5A6}" name="Days Worked" dataDxfId="2"/>
    <tableColumn id="5" xr3:uid="{EF3DB4E4-49C7-42E8-948F-6EACD7403856}" name="Daily Salary ($)" dataDxfId="1" dataCellStyle="Currency"/>
    <tableColumn id="6" xr3:uid="{C51F9A6E-B400-4A91-8C8F-5336FDB4AAA1}" name="Overtime Hours" dataDxfId="0"/>
    <tableColumn id="7" xr3:uid="{F799AF52-B7AE-4448-8957-5800BDDE2B79}" name="Base Salary" dataCellStyle="Currency">
      <calculatedColumnFormula>E6*D6</calculatedColumnFormula>
    </tableColumn>
    <tableColumn id="8" xr3:uid="{8535E7DD-AC1C-449D-9F44-BDFD4283A4FB}" name="Overtime Pay" dataCellStyle="Currency">
      <calculatedColumnFormula>F6*$J$2</calculatedColumnFormula>
    </tableColumn>
    <tableColumn id="9" xr3:uid="{98CD141D-97D8-4D22-8887-CF18E56EA503}" name="Total Salary" dataCellStyle="Currency">
      <calculatedColumnFormula>G6+H6</calculatedColumnFormula>
    </tableColumn>
    <tableColumn id="10" xr3:uid="{404F5453-78C3-482F-A6BB-F1C187248149}" name="Attendance Status">
      <calculatedColumnFormula>IF(D6&gt;=22,"Excellent",IF(D6&gt;=20,"Good","Needs Improvement"))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A4BE64-9885-4AE4-9D0D-1076A17EBE90}" name="Table2" displayName="Table2" ref="C17:D23" totalsRowShown="0">
  <autoFilter ref="C17:D23" xr:uid="{CCA4BE64-9885-4AE4-9D0D-1076A17EBE90}">
    <filterColumn colId="0" hiddenButton="1"/>
    <filterColumn colId="1" hiddenButton="1"/>
  </autoFilter>
  <tableColumns count="2">
    <tableColumn id="1" xr3:uid="{3090D494-3BEA-4D35-9B2F-4D3F5CCCA1E4}" name="Summary"/>
    <tableColumn id="2" xr3:uid="{74451204-5C6F-4396-B56E-FAB3EB277A46}" name="Valu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9E1B-B6B2-4AB6-B688-A85087D43BB2}">
  <dimension ref="A1:J23"/>
  <sheetViews>
    <sheetView tabSelected="1" topLeftCell="H4" workbookViewId="0">
      <selection activeCell="K13" sqref="K13"/>
    </sheetView>
  </sheetViews>
  <sheetFormatPr defaultRowHeight="14.5" x14ac:dyDescent="0.35"/>
  <cols>
    <col min="1" max="1" width="14.36328125" customWidth="1"/>
    <col min="2" max="2" width="19.1796875" customWidth="1"/>
    <col min="3" max="3" width="16.08984375" customWidth="1"/>
    <col min="4" max="4" width="13.6328125" customWidth="1"/>
    <col min="5" max="5" width="15.26953125" customWidth="1"/>
    <col min="6" max="6" width="15.90625" customWidth="1"/>
    <col min="7" max="7" width="14.453125" customWidth="1"/>
    <col min="8" max="8" width="13.81640625" customWidth="1"/>
    <col min="9" max="9" width="15.81640625" bestFit="1" customWidth="1"/>
    <col min="10" max="10" width="18.1796875" customWidth="1"/>
  </cols>
  <sheetData>
    <row r="1" spans="1:10" ht="26" x14ac:dyDescent="0.6">
      <c r="A1" s="8" t="s">
        <v>41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5">
      <c r="I2" s="5" t="s">
        <v>28</v>
      </c>
      <c r="J2" s="5">
        <v>20</v>
      </c>
    </row>
    <row r="5" spans="1:10" ht="21.5" customHeight="1" x14ac:dyDescent="0.35">
      <c r="A5" s="1" t="s">
        <v>0</v>
      </c>
      <c r="B5" s="1" t="s">
        <v>1</v>
      </c>
      <c r="C5" s="1" t="s">
        <v>2</v>
      </c>
      <c r="D5" s="3" t="s">
        <v>3</v>
      </c>
      <c r="E5" s="3" t="s">
        <v>4</v>
      </c>
      <c r="F5" s="3" t="s">
        <v>5</v>
      </c>
      <c r="G5" s="3" t="s">
        <v>27</v>
      </c>
      <c r="H5" s="3" t="s">
        <v>29</v>
      </c>
      <c r="I5" s="3" t="s">
        <v>30</v>
      </c>
      <c r="J5" s="3" t="s">
        <v>31</v>
      </c>
    </row>
    <row r="6" spans="1:10" x14ac:dyDescent="0.35">
      <c r="A6" s="4" t="s">
        <v>6</v>
      </c>
      <c r="B6" s="4" t="s">
        <v>7</v>
      </c>
      <c r="C6" s="4" t="s">
        <v>8</v>
      </c>
      <c r="D6" s="2">
        <v>22</v>
      </c>
      <c r="E6" s="6">
        <v>120</v>
      </c>
      <c r="F6" s="2">
        <v>4</v>
      </c>
      <c r="G6" s="7">
        <f>E6*D6</f>
        <v>2640</v>
      </c>
      <c r="H6" s="7">
        <f t="shared" ref="H6:H13" si="0">F6*$J$2</f>
        <v>80</v>
      </c>
      <c r="I6" s="7">
        <f>G6+H6</f>
        <v>2720</v>
      </c>
      <c r="J6" t="str">
        <f>IF(D6&gt;=22,"Excellent",IF(D6&gt;=20,"Good","Needs Improvement"))</f>
        <v>Excellent</v>
      </c>
    </row>
    <row r="7" spans="1:10" x14ac:dyDescent="0.35">
      <c r="A7" s="4" t="s">
        <v>9</v>
      </c>
      <c r="B7" s="4" t="s">
        <v>10</v>
      </c>
      <c r="C7" s="4" t="s">
        <v>11</v>
      </c>
      <c r="D7" s="2">
        <v>20</v>
      </c>
      <c r="E7" s="6">
        <v>110</v>
      </c>
      <c r="F7" s="2">
        <v>2</v>
      </c>
      <c r="G7" s="7">
        <f t="shared" ref="G7:G13" si="1">E7*D7</f>
        <v>2200</v>
      </c>
      <c r="H7" s="7">
        <f t="shared" si="0"/>
        <v>40</v>
      </c>
      <c r="I7" s="7">
        <f t="shared" ref="I7:I13" si="2">G7+H7</f>
        <v>2240</v>
      </c>
      <c r="J7" t="str">
        <f t="shared" ref="J7:J13" si="3">IF(D7&gt;=22,"Excellent",IF(D7&gt;=20,"Good","Needs Improvement"))</f>
        <v>Good</v>
      </c>
    </row>
    <row r="8" spans="1:10" x14ac:dyDescent="0.35">
      <c r="A8" s="4" t="s">
        <v>12</v>
      </c>
      <c r="B8" s="4" t="s">
        <v>13</v>
      </c>
      <c r="C8" s="4" t="s">
        <v>14</v>
      </c>
      <c r="D8" s="2">
        <v>24</v>
      </c>
      <c r="E8" s="6">
        <v>130</v>
      </c>
      <c r="F8" s="2">
        <v>5</v>
      </c>
      <c r="G8" s="7">
        <f t="shared" si="1"/>
        <v>3120</v>
      </c>
      <c r="H8" s="7">
        <f t="shared" si="0"/>
        <v>100</v>
      </c>
      <c r="I8" s="7">
        <f t="shared" si="2"/>
        <v>3220</v>
      </c>
      <c r="J8" t="str">
        <f t="shared" si="3"/>
        <v>Excellent</v>
      </c>
    </row>
    <row r="9" spans="1:10" x14ac:dyDescent="0.35">
      <c r="A9" s="4" t="s">
        <v>15</v>
      </c>
      <c r="B9" s="4" t="s">
        <v>16</v>
      </c>
      <c r="C9" s="4" t="s">
        <v>17</v>
      </c>
      <c r="D9" s="2">
        <v>18</v>
      </c>
      <c r="E9" s="6">
        <v>100</v>
      </c>
      <c r="F9" s="2">
        <v>0</v>
      </c>
      <c r="G9" s="7">
        <f t="shared" si="1"/>
        <v>1800</v>
      </c>
      <c r="H9" s="7">
        <f t="shared" si="0"/>
        <v>0</v>
      </c>
      <c r="I9" s="7">
        <f t="shared" si="2"/>
        <v>1800</v>
      </c>
      <c r="J9" t="str">
        <f t="shared" si="3"/>
        <v>Needs Improvement</v>
      </c>
    </row>
    <row r="10" spans="1:10" x14ac:dyDescent="0.35">
      <c r="A10" s="4" t="s">
        <v>18</v>
      </c>
      <c r="B10" s="4" t="s">
        <v>19</v>
      </c>
      <c r="C10" s="4" t="s">
        <v>8</v>
      </c>
      <c r="D10" s="2">
        <v>23</v>
      </c>
      <c r="E10" s="6">
        <v>125</v>
      </c>
      <c r="F10" s="2">
        <v>3</v>
      </c>
      <c r="G10" s="7">
        <f t="shared" si="1"/>
        <v>2875</v>
      </c>
      <c r="H10" s="7">
        <f t="shared" si="0"/>
        <v>60</v>
      </c>
      <c r="I10" s="7">
        <f t="shared" si="2"/>
        <v>2935</v>
      </c>
      <c r="J10" t="str">
        <f t="shared" si="3"/>
        <v>Excellent</v>
      </c>
    </row>
    <row r="11" spans="1:10" x14ac:dyDescent="0.35">
      <c r="A11" s="4" t="s">
        <v>20</v>
      </c>
      <c r="B11" s="4" t="s">
        <v>21</v>
      </c>
      <c r="C11" s="4" t="s">
        <v>22</v>
      </c>
      <c r="D11" s="2">
        <v>21</v>
      </c>
      <c r="E11" s="6">
        <v>115</v>
      </c>
      <c r="F11" s="2">
        <v>6</v>
      </c>
      <c r="G11" s="7">
        <f t="shared" si="1"/>
        <v>2415</v>
      </c>
      <c r="H11" s="7">
        <f t="shared" si="0"/>
        <v>120</v>
      </c>
      <c r="I11" s="7">
        <f t="shared" si="2"/>
        <v>2535</v>
      </c>
      <c r="J11" t="str">
        <f t="shared" si="3"/>
        <v>Good</v>
      </c>
    </row>
    <row r="12" spans="1:10" x14ac:dyDescent="0.35">
      <c r="A12" s="4" t="s">
        <v>23</v>
      </c>
      <c r="B12" s="4" t="s">
        <v>24</v>
      </c>
      <c r="C12" s="4" t="s">
        <v>11</v>
      </c>
      <c r="D12" s="2">
        <v>19</v>
      </c>
      <c r="E12" s="6">
        <v>108</v>
      </c>
      <c r="F12" s="2">
        <v>1</v>
      </c>
      <c r="G12" s="7">
        <f t="shared" si="1"/>
        <v>2052</v>
      </c>
      <c r="H12" s="7">
        <f t="shared" si="0"/>
        <v>20</v>
      </c>
      <c r="I12" s="7">
        <f t="shared" si="2"/>
        <v>2072</v>
      </c>
      <c r="J12" t="str">
        <f t="shared" si="3"/>
        <v>Needs Improvement</v>
      </c>
    </row>
    <row r="13" spans="1:10" x14ac:dyDescent="0.35">
      <c r="A13" s="4" t="s">
        <v>25</v>
      </c>
      <c r="B13" s="4" t="s">
        <v>26</v>
      </c>
      <c r="C13" s="4" t="s">
        <v>14</v>
      </c>
      <c r="D13" s="2">
        <v>25</v>
      </c>
      <c r="E13" s="6">
        <v>135</v>
      </c>
      <c r="F13" s="2">
        <v>4</v>
      </c>
      <c r="G13" s="7">
        <f t="shared" si="1"/>
        <v>3375</v>
      </c>
      <c r="H13" s="7">
        <f t="shared" si="0"/>
        <v>80</v>
      </c>
      <c r="I13" s="7">
        <f t="shared" si="2"/>
        <v>3455</v>
      </c>
      <c r="J13" t="str">
        <f t="shared" si="3"/>
        <v>Excellent</v>
      </c>
    </row>
    <row r="17" spans="3:6" x14ac:dyDescent="0.35">
      <c r="C17" t="s">
        <v>32</v>
      </c>
      <c r="D17" t="s">
        <v>33</v>
      </c>
      <c r="F17" t="s">
        <v>40</v>
      </c>
    </row>
    <row r="18" spans="3:6" x14ac:dyDescent="0.35">
      <c r="C18" t="s">
        <v>34</v>
      </c>
      <c r="D18">
        <f>COUNTA(B6:B13)</f>
        <v>8</v>
      </c>
    </row>
    <row r="19" spans="3:6" x14ac:dyDescent="0.35">
      <c r="C19" t="s">
        <v>35</v>
      </c>
      <c r="D19" s="7">
        <f>SUM(G6:G13)</f>
        <v>20477</v>
      </c>
    </row>
    <row r="20" spans="3:6" x14ac:dyDescent="0.35">
      <c r="C20" t="s">
        <v>36</v>
      </c>
      <c r="D20" s="7">
        <f>SUM(H6:H13)</f>
        <v>500</v>
      </c>
    </row>
    <row r="21" spans="3:6" x14ac:dyDescent="0.35">
      <c r="C21" t="s">
        <v>37</v>
      </c>
      <c r="D21" s="7">
        <f>SUM(I6:I13)</f>
        <v>20977</v>
      </c>
    </row>
    <row r="22" spans="3:6" x14ac:dyDescent="0.35">
      <c r="C22" t="s">
        <v>38</v>
      </c>
      <c r="D22" s="7">
        <f>MAX(I6:I13)</f>
        <v>3455</v>
      </c>
    </row>
    <row r="23" spans="3:6" x14ac:dyDescent="0.35">
      <c r="C23" t="s">
        <v>39</v>
      </c>
      <c r="D23" s="7">
        <f>MIN(I6:I13)</f>
        <v>1800</v>
      </c>
    </row>
  </sheetData>
  <mergeCells count="1">
    <mergeCell ref="A1:J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SUMAIYA AHMED</dc:creator>
  <cp:lastModifiedBy>SUMAIYA AHMED</cp:lastModifiedBy>
  <dcterms:created xsi:type="dcterms:W3CDTF">2026-07-24T16:22:44Z</dcterms:created>
  <dcterms:modified xsi:type="dcterms:W3CDTF">2026-07-26T21:38:28Z</dcterms:modified>
</cp:coreProperties>
</file>