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mcstedusa-my.sharepoint.com/personal/221220359_student_um_edu_sa/Documents/سطح المكتب/"/>
    </mc:Choice>
  </mc:AlternateContent>
  <xr:revisionPtr revIDLastSave="1107" documentId="11_6AD70F5B29A6C94C8ACB053E9931F331239CF01D" xr6:coauthVersionLast="47" xr6:coauthVersionMax="47" xr10:uidLastSave="{9F481E46-77E4-4B0A-B3AE-295A1D583C55}"/>
  <bookViews>
    <workbookView xWindow="-110" yWindow="-110" windowWidth="19420" windowHeight="12220" activeTab="3" xr2:uid="{00000000-000D-0000-FFFF-FFFF00000000}"/>
  </bookViews>
  <sheets>
    <sheet name="Raw Data" sheetId="1" r:id="rId1"/>
    <sheet name="CleanData" sheetId="2" r:id="rId2"/>
    <sheet name="Analysis" sheetId="3" r:id="rId3"/>
    <sheet name="Pivot Analysis" sheetId="4" r:id="rId4"/>
    <sheet name="Dashboard" sheetId="5" r:id="rId5"/>
  </sheets>
  <definedNames>
    <definedName name="ExternalData_1" localSheetId="1" hidden="1">CleanData!$A$1:$M$70</definedName>
    <definedName name="Slicer_Department">#N/A</definedName>
    <definedName name="Slicer_Region">#N/A</definedName>
    <definedName name="Slicer_Status">#N/A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2" l="1"/>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B2" i="3"/>
  <c r="A5" i="5" s="1"/>
  <c r="I5" i="5" l="1"/>
  <c r="D60" i="3"/>
  <c r="D61" i="3"/>
  <c r="D62" i="3"/>
  <c r="D63" i="3"/>
  <c r="D64" i="3"/>
  <c r="D65" i="3"/>
  <c r="D66" i="3"/>
  <c r="D59" i="3"/>
  <c r="C60" i="3"/>
  <c r="C61" i="3"/>
  <c r="C62" i="3"/>
  <c r="C63" i="3"/>
  <c r="C64" i="3"/>
  <c r="C65" i="3"/>
  <c r="C66" i="3"/>
  <c r="C59" i="3"/>
  <c r="B59" i="3"/>
  <c r="B60" i="3"/>
  <c r="B61" i="3"/>
  <c r="B62" i="3"/>
  <c r="B63" i="3"/>
  <c r="B64" i="3"/>
  <c r="B65" i="3"/>
  <c r="B66" i="3"/>
  <c r="C53" i="3"/>
  <c r="C54" i="3"/>
  <c r="C55" i="3"/>
  <c r="C52" i="3"/>
  <c r="B53" i="3"/>
  <c r="B54" i="3"/>
  <c r="B55" i="3"/>
  <c r="B52" i="3"/>
  <c r="B42" i="3"/>
  <c r="C42" i="3"/>
  <c r="D42" i="3"/>
  <c r="B43" i="3"/>
  <c r="C43" i="3"/>
  <c r="D43" i="3"/>
  <c r="B44" i="3"/>
  <c r="C44" i="3"/>
  <c r="D44" i="3"/>
  <c r="B45" i="3"/>
  <c r="C45" i="3"/>
  <c r="D45" i="3"/>
  <c r="B46" i="3"/>
  <c r="C46" i="3"/>
  <c r="D46" i="3"/>
  <c r="B47" i="3"/>
  <c r="C47" i="3"/>
  <c r="D47" i="3"/>
  <c r="B48" i="3"/>
  <c r="C48" i="3"/>
  <c r="D48" i="3"/>
  <c r="C41" i="3"/>
  <c r="D41" i="3"/>
  <c r="B41" i="3"/>
  <c r="D36" i="3"/>
  <c r="B31" i="3"/>
  <c r="C31" i="3"/>
  <c r="D31" i="3"/>
  <c r="B32" i="3"/>
  <c r="C32" i="3"/>
  <c r="D32" i="3"/>
  <c r="B33" i="3"/>
  <c r="C33" i="3"/>
  <c r="D33" i="3"/>
  <c r="B34" i="3"/>
  <c r="C34" i="3"/>
  <c r="D34" i="3"/>
  <c r="B35" i="3"/>
  <c r="C35" i="3"/>
  <c r="D35" i="3"/>
  <c r="B36" i="3"/>
  <c r="C36" i="3"/>
  <c r="B37" i="3"/>
  <c r="C37" i="3"/>
  <c r="D37" i="3"/>
  <c r="C30" i="3"/>
  <c r="D30" i="3"/>
  <c r="B30" i="3"/>
  <c r="M4" i="3"/>
  <c r="M5" i="3"/>
  <c r="M6" i="3"/>
  <c r="M3" i="3"/>
  <c r="J4" i="3"/>
  <c r="J5" i="3"/>
  <c r="J6" i="3"/>
  <c r="J7" i="3"/>
  <c r="J8" i="3"/>
  <c r="J3" i="3"/>
  <c r="I4" i="3"/>
  <c r="I5" i="3"/>
  <c r="I6" i="3"/>
  <c r="I7" i="3"/>
  <c r="I8" i="3"/>
  <c r="I3" i="3"/>
  <c r="F3" i="3"/>
  <c r="F4" i="3"/>
  <c r="F5" i="3"/>
  <c r="F6" i="3"/>
  <c r="F7" i="3"/>
  <c r="F8" i="3"/>
  <c r="F9" i="3"/>
  <c r="F10" i="3"/>
  <c r="E9" i="3"/>
  <c r="E5" i="3"/>
  <c r="E4" i="3"/>
  <c r="E6" i="3"/>
  <c r="E7" i="3"/>
  <c r="E8" i="3"/>
  <c r="E10" i="3"/>
  <c r="E3" i="3"/>
  <c r="B23" i="3"/>
  <c r="B22" i="3"/>
  <c r="G5" i="5" s="1"/>
  <c r="B21" i="3"/>
  <c r="B20" i="3"/>
  <c r="B19" i="3"/>
  <c r="B15" i="3"/>
  <c r="B14" i="3"/>
  <c r="B13" i="3"/>
  <c r="B12" i="3"/>
  <c r="B11" i="3"/>
  <c r="B10" i="3"/>
  <c r="E5" i="5" s="1"/>
  <c r="B9" i="3"/>
  <c r="B5" i="3"/>
  <c r="B4" i="3"/>
  <c r="B3" i="3"/>
  <c r="C5" i="5" s="1"/>
  <c r="I14" i="3" l="1"/>
  <c r="E52" i="3"/>
  <c r="D53" i="3"/>
  <c r="D54" i="3"/>
  <c r="E55" i="3"/>
  <c r="E53" i="3"/>
  <c r="E54" i="3"/>
  <c r="D52" i="3"/>
  <c r="D55" i="3"/>
  <c r="I13" i="3"/>
  <c r="M13" i="3"/>
  <c r="E15" i="3"/>
  <c r="E13" i="3"/>
  <c r="E1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45BC4C0-2F4E-4C5E-91A0-928C0EAA3262}" keepAlive="1" name="Query - CleanEmployeeData" description="Connection to the 'CleanEmployeeData' query in the workbook." type="5" refreshedVersion="8" background="1" saveData="1">
    <dbPr connection="Provider=Microsoft.Mashup.OleDb.1;Data Source=$Workbook$;Location=CleanEmployeeData;Extended Properties=&quot;&quot;" command="SELECT * FROM [CleanEmployeeData]"/>
  </connection>
</connections>
</file>

<file path=xl/sharedStrings.xml><?xml version="1.0" encoding="utf-8"?>
<sst xmlns="http://schemas.openxmlformats.org/spreadsheetml/2006/main" count="1516" uniqueCount="532">
  <si>
    <t>Employee_ID</t>
  </si>
  <si>
    <t>First_Name</t>
  </si>
  <si>
    <t>Last_Name</t>
  </si>
  <si>
    <t>Name</t>
  </si>
  <si>
    <t>Age</t>
  </si>
  <si>
    <t>Department_Region</t>
  </si>
  <si>
    <t>Status</t>
  </si>
  <si>
    <t>Join_Date</t>
  </si>
  <si>
    <t>Salary</t>
  </si>
  <si>
    <t>Email</t>
  </si>
  <si>
    <t>Phone</t>
  </si>
  <si>
    <t>Performance_Score</t>
  </si>
  <si>
    <t>Remote_Work</t>
  </si>
  <si>
    <t>EMP1001</t>
  </si>
  <si>
    <t>Noor</t>
  </si>
  <si>
    <t>Rashid</t>
  </si>
  <si>
    <t>Noor Rashid</t>
  </si>
  <si>
    <t>Operations-Makkah</t>
  </si>
  <si>
    <t>Active</t>
  </si>
  <si>
    <t>2022/05/07</t>
  </si>
  <si>
    <t>noor.rashid1@example.com</t>
  </si>
  <si>
    <t>056-287-5060</t>
  </si>
  <si>
    <t>Needs Improvement</t>
  </si>
  <si>
    <t>EMP1002</t>
  </si>
  <si>
    <t>Yara</t>
  </si>
  <si>
    <t>Hassan</t>
  </si>
  <si>
    <t>Yara Hassan</t>
  </si>
  <si>
    <t>HR-Tabuk</t>
  </si>
  <si>
    <t>2019-10-27</t>
  </si>
  <si>
    <t>yara.hassan2@example.com</t>
  </si>
  <si>
    <t>050-965-8839</t>
  </si>
  <si>
    <t>Good</t>
  </si>
  <si>
    <t>EMP1003</t>
  </si>
  <si>
    <t>Adel</t>
  </si>
  <si>
    <t>Malik</t>
  </si>
  <si>
    <t>Adel Malik</t>
  </si>
  <si>
    <t>Finance-Jeddah</t>
  </si>
  <si>
    <t>02/13/2020</t>
  </si>
  <si>
    <t>adel.malik3@example.com</t>
  </si>
  <si>
    <t>054-653-1834</t>
  </si>
  <si>
    <t>Excellent</t>
  </si>
  <si>
    <t>EMP1004</t>
  </si>
  <si>
    <t>Salma</t>
  </si>
  <si>
    <t>Ahmed</t>
  </si>
  <si>
    <t>Salma Ahmed</t>
  </si>
  <si>
    <t>Operations-Madinah</t>
  </si>
  <si>
    <t>Inactive</t>
  </si>
  <si>
    <t>2023-10-19</t>
  </si>
  <si>
    <t>salma.ahmed4@example.com</t>
  </si>
  <si>
    <t>055-112-6913</t>
  </si>
  <si>
    <t>EMP1005</t>
  </si>
  <si>
    <t>Khalid</t>
  </si>
  <si>
    <t>Khalid Rashid</t>
  </si>
  <si>
    <t>Marketing-Tabuk</t>
  </si>
  <si>
    <t>02-09-2023</t>
  </si>
  <si>
    <t>khalid.rashid5@example.com</t>
  </si>
  <si>
    <t>055-446-1937</t>
  </si>
  <si>
    <t>Nasser</t>
  </si>
  <si>
    <t>Hassan Nasser</t>
  </si>
  <si>
    <t>Finance-Makkah</t>
  </si>
  <si>
    <t>2019-05-15</t>
  </si>
  <si>
    <t>hassan.nasser6@example.com</t>
  </si>
  <si>
    <t>053-891-8825</t>
  </si>
  <si>
    <t>EMP1007</t>
  </si>
  <si>
    <t>Amina</t>
  </si>
  <si>
    <t>Latif</t>
  </si>
  <si>
    <t>Amina Latif</t>
  </si>
  <si>
    <t>Finance-Riyadh</t>
  </si>
  <si>
    <t>26-06-2018</t>
  </si>
  <si>
    <t>amina.latif7@example.com</t>
  </si>
  <si>
    <t>057-854-1056</t>
  </si>
  <si>
    <t>EMP1008</t>
  </si>
  <si>
    <t>Majed</t>
  </si>
  <si>
    <t>Rahman</t>
  </si>
  <si>
    <t>Majed Rahman</t>
  </si>
  <si>
    <t>Sales-Riyadh</t>
  </si>
  <si>
    <t>13-04-2021</t>
  </si>
  <si>
    <t>N/A</t>
  </si>
  <si>
    <t>majed.rahman8@example.com</t>
  </si>
  <si>
    <t>052-164-2283</t>
  </si>
  <si>
    <t>EMP1009</t>
  </si>
  <si>
    <t>Hadi</t>
  </si>
  <si>
    <t>Salma Hadi</t>
  </si>
  <si>
    <t>02/08/2025</t>
  </si>
  <si>
    <t>salma.hadi9@example.com</t>
  </si>
  <si>
    <t>058-578-4503</t>
  </si>
  <si>
    <t>Average</t>
  </si>
  <si>
    <t>EMP1010</t>
  </si>
  <si>
    <t>Rami</t>
  </si>
  <si>
    <t>Saeed</t>
  </si>
  <si>
    <t>Rami Saeed</t>
  </si>
  <si>
    <t>HR-Jeddah</t>
  </si>
  <si>
    <t>active</t>
  </si>
  <si>
    <t>27-09-2021</t>
  </si>
  <si>
    <t>rami.saeed10@example.com</t>
  </si>
  <si>
    <t>053-544-6208</t>
  </si>
  <si>
    <t>EMP1011</t>
  </si>
  <si>
    <t>Yusuf</t>
  </si>
  <si>
    <t>Qureshi</t>
  </si>
  <si>
    <t>Yusuf Qureshi</t>
  </si>
  <si>
    <t>Pending</t>
  </si>
  <si>
    <t>07-06-2019</t>
  </si>
  <si>
    <t>yusuf.qureshi11@example.com</t>
  </si>
  <si>
    <t>059-711-9537</t>
  </si>
  <si>
    <t>good</t>
  </si>
  <si>
    <t>EMP1012</t>
  </si>
  <si>
    <t>Ali</t>
  </si>
  <si>
    <t>Adel Ali</t>
  </si>
  <si>
    <t>Data Analytics-Dammam</t>
  </si>
  <si>
    <t>18-05-2021</t>
  </si>
  <si>
    <t>adel.ali12@example.com</t>
  </si>
  <si>
    <t>053-501-4125</t>
  </si>
  <si>
    <t>EMP1013</t>
  </si>
  <si>
    <t>Faisal</t>
  </si>
  <si>
    <t>Jaber</t>
  </si>
  <si>
    <t>Faisal Jaber</t>
  </si>
  <si>
    <t>IT Support-Riyadh</t>
  </si>
  <si>
    <t>2023/13/05</t>
  </si>
  <si>
    <t>faisal.jaber13@example.com</t>
  </si>
  <si>
    <t>059-883-1785</t>
  </si>
  <si>
    <t>EMP1014</t>
  </si>
  <si>
    <t>Omar</t>
  </si>
  <si>
    <t>Omar Hadi</t>
  </si>
  <si>
    <t>Cloud Tech-Dammam</t>
  </si>
  <si>
    <t>2025-09-03</t>
  </si>
  <si>
    <t>omar.hadi14@example.com</t>
  </si>
  <si>
    <t>055-835-9673</t>
  </si>
  <si>
    <t>EMP1015</t>
  </si>
  <si>
    <t>FAROOQ</t>
  </si>
  <si>
    <t>Yara Farooq</t>
  </si>
  <si>
    <t>08/12/2019</t>
  </si>
  <si>
    <t>yara.farooq15@example.com</t>
  </si>
  <si>
    <t>058-851-4932</t>
  </si>
  <si>
    <t>EMP1016</t>
  </si>
  <si>
    <t>Yusuf Saeed</t>
  </si>
  <si>
    <t>2022-11-06</t>
  </si>
  <si>
    <t>yusuf.saeed16@example.com</t>
  </si>
  <si>
    <t>051-639-8562</t>
  </si>
  <si>
    <t>EMP1017</t>
  </si>
  <si>
    <t>Salma Malik</t>
  </si>
  <si>
    <t>04-02-2022</t>
  </si>
  <si>
    <t>salma.malik17@example.com</t>
  </si>
  <si>
    <t>056-734-5239</t>
  </si>
  <si>
    <t>EMP1018</t>
  </si>
  <si>
    <t>Saleh</t>
  </si>
  <si>
    <t>Yara Saleh</t>
  </si>
  <si>
    <t>Marketing-Makkah</t>
  </si>
  <si>
    <t>2018/08/24</t>
  </si>
  <si>
    <t>yara.saleh18@example.com</t>
  </si>
  <si>
    <t>051-838-1380</t>
  </si>
  <si>
    <t>EMP1019</t>
  </si>
  <si>
    <t>Kamal</t>
  </si>
  <si>
    <t>Yara Kamal</t>
  </si>
  <si>
    <t>2022/08/11</t>
  </si>
  <si>
    <t>yara.kamal19@example.com</t>
  </si>
  <si>
    <t>051-227-3923</t>
  </si>
  <si>
    <t>EMP1020</t>
  </si>
  <si>
    <t>Khalid Rahman</t>
  </si>
  <si>
    <t>Cloud Tech -Riyadh</t>
  </si>
  <si>
    <t>2022/08/27</t>
  </si>
  <si>
    <t>khalid.rahman20@example.com</t>
  </si>
  <si>
    <t>057-445-5599</t>
  </si>
  <si>
    <t>EMP1021</t>
  </si>
  <si>
    <t>Lina</t>
  </si>
  <si>
    <t>Farooq</t>
  </si>
  <si>
    <t>Lina Farooq</t>
  </si>
  <si>
    <t>Data Analytics-Makkah</t>
  </si>
  <si>
    <t>2022-04-25</t>
  </si>
  <si>
    <t>lina.farooq21@example.com</t>
  </si>
  <si>
    <t>056-501-7308</t>
  </si>
  <si>
    <t>EMP1022</t>
  </si>
  <si>
    <t>Zaid</t>
  </si>
  <si>
    <t>Zaid Saleh</t>
  </si>
  <si>
    <t>2019-02-05</t>
  </si>
  <si>
    <t>zaid.saleh22@example.com</t>
  </si>
  <si>
    <t>0551234567</t>
  </si>
  <si>
    <t>EMP1023</t>
  </si>
  <si>
    <t>Yusuf Hassan</t>
  </si>
  <si>
    <t>HR-Riyadh</t>
  </si>
  <si>
    <t>2025/03/14</t>
  </si>
  <si>
    <t>yusuf.hassan23@example.com</t>
  </si>
  <si>
    <t>054-617-8986</t>
  </si>
  <si>
    <t>EMP1024</t>
  </si>
  <si>
    <t>Hassan Rashid</t>
  </si>
  <si>
    <t>Sales-Makkah</t>
  </si>
  <si>
    <t>2019-08-18</t>
  </si>
  <si>
    <t>hassan.rashid24@example.com</t>
  </si>
  <si>
    <t>058-350-1027</t>
  </si>
  <si>
    <t>TRUE</t>
  </si>
  <si>
    <t>EMP1025</t>
  </si>
  <si>
    <t>Sami</t>
  </si>
  <si>
    <t>Sami Hadi</t>
  </si>
  <si>
    <t>14-01-2025</t>
  </si>
  <si>
    <t>sami.hadi25@example.com</t>
  </si>
  <si>
    <t>056-981-1709</t>
  </si>
  <si>
    <t>EMP1026</t>
  </si>
  <si>
    <t>Noura</t>
  </si>
  <si>
    <t>Noura Hadi</t>
  </si>
  <si>
    <t>HR-Madinah</t>
  </si>
  <si>
    <t>2020-03-17</t>
  </si>
  <si>
    <t>noura.hadi26@example.com</t>
  </si>
  <si>
    <t>057-297-2333</t>
  </si>
  <si>
    <t>EMP1027</t>
  </si>
  <si>
    <t>Khalid Omar</t>
  </si>
  <si>
    <t>12/27/2025</t>
  </si>
  <si>
    <t>khalid.omar27@example.com</t>
  </si>
  <si>
    <t>050-598-7226</t>
  </si>
  <si>
    <t>EMP1028</t>
  </si>
  <si>
    <t>Yusuf WrongLast</t>
  </si>
  <si>
    <t>17-12-2022</t>
  </si>
  <si>
    <t>yusuf.saeed28@example.com</t>
  </si>
  <si>
    <t>058-675-8809</t>
  </si>
  <si>
    <t>EMP1029</t>
  </si>
  <si>
    <t>Zaid Ahmed</t>
  </si>
  <si>
    <t>Sales-Madinah</t>
  </si>
  <si>
    <t>2022-02-23</t>
  </si>
  <si>
    <t>zaid.ahmed29@example.com</t>
  </si>
  <si>
    <t>058-133-9082</t>
  </si>
  <si>
    <t>EMP1030</t>
  </si>
  <si>
    <t>Bilal</t>
  </si>
  <si>
    <t>Bilal Hassan</t>
  </si>
  <si>
    <t>03/06/2022</t>
  </si>
  <si>
    <t>bilal.hassan30@example.com</t>
  </si>
  <si>
    <t>057-791-9081</t>
  </si>
  <si>
    <t>EMP1031</t>
  </si>
  <si>
    <t>Rami Hadi</t>
  </si>
  <si>
    <t>21-08-2019</t>
  </si>
  <si>
    <t>rami.hadi31@example.com</t>
  </si>
  <si>
    <t>059-953-7162</t>
  </si>
  <si>
    <t>EMP1032</t>
  </si>
  <si>
    <t>rami jaber</t>
  </si>
  <si>
    <t>IT Support-Jeddah</t>
  </si>
  <si>
    <t>10/23/2022</t>
  </si>
  <si>
    <t>rami.jaber32@example.com</t>
  </si>
  <si>
    <t>055-314-4561</t>
  </si>
  <si>
    <t>EMP1033</t>
  </si>
  <si>
    <t>Bilal Ali</t>
  </si>
  <si>
    <t>01/24/2021</t>
  </si>
  <si>
    <t>bilal.ali33@example.com</t>
  </si>
  <si>
    <t>051-602-7917</t>
  </si>
  <si>
    <t>EMP1034</t>
  </si>
  <si>
    <t>Aziz</t>
  </si>
  <si>
    <t>Faisal Aziz</t>
  </si>
  <si>
    <t>2023-07-17</t>
  </si>
  <si>
    <t>faisal.aziz34@example.com</t>
  </si>
  <si>
    <t>054-795-7388</t>
  </si>
  <si>
    <t>EMP1035</t>
  </si>
  <si>
    <t>Sami Omar</t>
  </si>
  <si>
    <t>not recorded</t>
  </si>
  <si>
    <t>sami.omar35@example.com</t>
  </si>
  <si>
    <t>057-298-3787</t>
  </si>
  <si>
    <t>EMP1036</t>
  </si>
  <si>
    <t>Amina Ahmed</t>
  </si>
  <si>
    <t>28-05-2021</t>
  </si>
  <si>
    <t>amina.ahmed36@example.com</t>
  </si>
  <si>
    <t>052-178-2550</t>
  </si>
  <si>
    <t>EMP1037</t>
  </si>
  <si>
    <t>Reem</t>
  </si>
  <si>
    <t>Reem Omar</t>
  </si>
  <si>
    <t>Cloud Tech-Tabuk</t>
  </si>
  <si>
    <t>10/02/2022</t>
  </si>
  <si>
    <t>reem.omar37@example.com</t>
  </si>
  <si>
    <t>052-332-1612</t>
  </si>
  <si>
    <t>EMP1038</t>
  </si>
  <si>
    <t>Dina</t>
  </si>
  <si>
    <t>Dina Ali</t>
  </si>
  <si>
    <t>Cloud Tech-Madinah</t>
  </si>
  <si>
    <t>2023-11-10</t>
  </si>
  <si>
    <t>dina.ali38@example.com</t>
  </si>
  <si>
    <t>056-374-7622</t>
  </si>
  <si>
    <t>EMP1039</t>
  </si>
  <si>
    <t>Huda</t>
  </si>
  <si>
    <t>Huda Hadi</t>
  </si>
  <si>
    <t>Cloud Tech-Jeddah</t>
  </si>
  <si>
    <t>01/15/2018</t>
  </si>
  <si>
    <t>huda.hadi39@example.com</t>
  </si>
  <si>
    <t>052-864-2084</t>
  </si>
  <si>
    <t>EMP1040</t>
  </si>
  <si>
    <t>Karim</t>
  </si>
  <si>
    <t>Karim Rahman</t>
  </si>
  <si>
    <t>Data Analytics-Jeddah</t>
  </si>
  <si>
    <t>2025/05/27</t>
  </si>
  <si>
    <t>karim.rahman40@example.com</t>
  </si>
  <si>
    <t>053-763-9531</t>
  </si>
  <si>
    <t>EMP1041</t>
  </si>
  <si>
    <t>17-09-2021</t>
  </si>
  <si>
    <t>SALMA.MALIK41@EXAMPLE.COM</t>
  </si>
  <si>
    <t>051-545-5094</t>
  </si>
  <si>
    <t>EMP1042</t>
  </si>
  <si>
    <t>Tariq</t>
  </si>
  <si>
    <t>Tariq Rashid</t>
  </si>
  <si>
    <t>Operations-Riyadh</t>
  </si>
  <si>
    <t>2020/01/01</t>
  </si>
  <si>
    <t>tariq.rashid42@example.com</t>
  </si>
  <si>
    <t>053-403-9495</t>
  </si>
  <si>
    <t>EMP1043</t>
  </si>
  <si>
    <t>Mariam</t>
  </si>
  <si>
    <t>Khan</t>
  </si>
  <si>
    <t>Mariam Khan</t>
  </si>
  <si>
    <t>Data Analytics-Riyadh</t>
  </si>
  <si>
    <t>20-06-2024</t>
  </si>
  <si>
    <t>mariam.khan43@example.com</t>
  </si>
  <si>
    <t>056-342-8536</t>
  </si>
  <si>
    <t>EMP1045</t>
  </si>
  <si>
    <t>06-10-2021</t>
  </si>
  <si>
    <t>adel.malik45@example.com</t>
  </si>
  <si>
    <t>055-592-2982</t>
  </si>
  <si>
    <t>No</t>
  </si>
  <si>
    <t>EMP1046</t>
  </si>
  <si>
    <t>Ibrahim</t>
  </si>
  <si>
    <t>Ibrahim Hadi</t>
  </si>
  <si>
    <t>2021/03/05</t>
  </si>
  <si>
    <t>ibrahim.hadi46@example.com</t>
  </si>
  <si>
    <t>056-314-5056</t>
  </si>
  <si>
    <t>EMP1047</t>
  </si>
  <si>
    <t>PENDING</t>
  </si>
  <si>
    <t>11/03/2021</t>
  </si>
  <si>
    <t>noor.rashid47@example.com</t>
  </si>
  <si>
    <t>053-590-2282</t>
  </si>
  <si>
    <t>EMP1048</t>
  </si>
  <si>
    <t>Reem Aziz</t>
  </si>
  <si>
    <t>Sales-Jeddah</t>
  </si>
  <si>
    <t>2023-02-24</t>
  </si>
  <si>
    <t>reem.aziz48@example.com</t>
  </si>
  <si>
    <t>056-690-4229</t>
  </si>
  <si>
    <t>EMP1049</t>
  </si>
  <si>
    <t>Mariam Malik</t>
  </si>
  <si>
    <t>Cloud Tech-Makkah</t>
  </si>
  <si>
    <t>2023/08/06</t>
  </si>
  <si>
    <t>mariam.malik49@example.com</t>
  </si>
  <si>
    <t>+966 54 555 0182</t>
  </si>
  <si>
    <t>EMP1050</t>
  </si>
  <si>
    <t>Hassan Aziz</t>
  </si>
  <si>
    <t>01/03/2024</t>
  </si>
  <si>
    <t>hassan.aziz50@example.com</t>
  </si>
  <si>
    <t>054-107-8470</t>
  </si>
  <si>
    <t>EMP1051</t>
  </si>
  <si>
    <t>2018-03-27</t>
  </si>
  <si>
    <t>bilal.hassan51@example.com</t>
  </si>
  <si>
    <t>053-612-1566</t>
  </si>
  <si>
    <t>EMP1052</t>
  </si>
  <si>
    <t>09/24/2021</t>
  </si>
  <si>
    <t>faisal.aziz52@example.com</t>
  </si>
  <si>
    <t>056-896-1230</t>
  </si>
  <si>
    <t>EMP1053</t>
  </si>
  <si>
    <t>Faisal Nasser</t>
  </si>
  <si>
    <t>2025-09-08</t>
  </si>
  <si>
    <t>faisal.nasser53@example.com</t>
  </si>
  <si>
    <t>055-987-9128</t>
  </si>
  <si>
    <t>EMP1054</t>
  </si>
  <si>
    <t>Rania</t>
  </si>
  <si>
    <t>Rania Kamal</t>
  </si>
  <si>
    <t>IT Support-Tabuk</t>
  </si>
  <si>
    <t>2018-10-08</t>
  </si>
  <si>
    <t>rania.kamal54@example.com</t>
  </si>
  <si>
    <t>050-908-3702</t>
  </si>
  <si>
    <t>EMP1055</t>
  </si>
  <si>
    <t>Sara</t>
  </si>
  <si>
    <t>Sara Omar</t>
  </si>
  <si>
    <t>2022/02/08</t>
  </si>
  <si>
    <t>sara.omar55@example.com</t>
  </si>
  <si>
    <t>050-288-4626</t>
  </si>
  <si>
    <t>EMP1056</t>
  </si>
  <si>
    <t>Rami Latif</t>
  </si>
  <si>
    <t>Sales-Dammam</t>
  </si>
  <si>
    <t>2020/11/05</t>
  </si>
  <si>
    <t>twelve thousand</t>
  </si>
  <si>
    <t>rami.latif56@example.com</t>
  </si>
  <si>
    <t>058-105-4821</t>
  </si>
  <si>
    <t>EMP1057</t>
  </si>
  <si>
    <t>Hamdan</t>
  </si>
  <si>
    <t>Rania Hamdan</t>
  </si>
  <si>
    <t>Marketing-Riyadh</t>
  </si>
  <si>
    <t>2020/03/02</t>
  </si>
  <si>
    <t>rania.hamdan57@example.com</t>
  </si>
  <si>
    <t>058-909-2647</t>
  </si>
  <si>
    <t>EMP1058</t>
  </si>
  <si>
    <t>Layla</t>
  </si>
  <si>
    <t>Layla Jaber</t>
  </si>
  <si>
    <t>05/27/2019</t>
  </si>
  <si>
    <t>layla.jaber58@example.com</t>
  </si>
  <si>
    <t>059-269-7020</t>
  </si>
  <si>
    <t>EMP1059</t>
  </si>
  <si>
    <t>Bilal Aziz</t>
  </si>
  <si>
    <t>10/09/2020</t>
  </si>
  <si>
    <t>bilal.aziz59@example.com</t>
  </si>
  <si>
    <t>053-349-8231</t>
  </si>
  <si>
    <t>Needs improvement</t>
  </si>
  <si>
    <t>EMP1060</t>
  </si>
  <si>
    <t>07/12/2023</t>
  </si>
  <si>
    <t>zaid.saleh60@example.com</t>
  </si>
  <si>
    <t>051-576-6061</t>
  </si>
  <si>
    <t>EMP1061</t>
  </si>
  <si>
    <t>Farah</t>
  </si>
  <si>
    <t>Farah Rashid</t>
  </si>
  <si>
    <t>Marketing-Dammam</t>
  </si>
  <si>
    <t>02/11/2018</t>
  </si>
  <si>
    <t>farah.rashid61@example.com</t>
  </si>
  <si>
    <t>050-169-8290</t>
  </si>
  <si>
    <t>EMP1062</t>
  </si>
  <si>
    <t>Noor Rahman</t>
  </si>
  <si>
    <t>01-09-2019</t>
  </si>
  <si>
    <t>noor.rahman62@example.com</t>
  </si>
  <si>
    <t>054-990-7052</t>
  </si>
  <si>
    <t>EMP1063</t>
  </si>
  <si>
    <t>Sara Kamal</t>
  </si>
  <si>
    <t>2023/05/28</t>
  </si>
  <si>
    <t>sara.kamal63@example.com</t>
  </si>
  <si>
    <t>056-641-7494</t>
  </si>
  <si>
    <t>EMP1064</t>
  </si>
  <si>
    <t>Ibrahim Qureshi</t>
  </si>
  <si>
    <t>26-12-2025</t>
  </si>
  <si>
    <t>ibrahim.qureshi64@example.com</t>
  </si>
  <si>
    <t>051-621-3868</t>
  </si>
  <si>
    <t>EMP1065</t>
  </si>
  <si>
    <t>Mariam Hadi</t>
  </si>
  <si>
    <t>15-10-2019</t>
  </si>
  <si>
    <t>mariam.hadi65@example.com</t>
  </si>
  <si>
    <t>055-444-4031</t>
  </si>
  <si>
    <t>EMP1066</t>
  </si>
  <si>
    <t>Mansour</t>
  </si>
  <si>
    <t>Dina Mansour</t>
  </si>
  <si>
    <t>Sales-Tabuk</t>
  </si>
  <si>
    <t>03/06/2024</t>
  </si>
  <si>
    <t>dina.mansour66@example.com</t>
  </si>
  <si>
    <t>052-288-3208</t>
  </si>
  <si>
    <t>EMP1067</t>
  </si>
  <si>
    <t>Tariq Rahman</t>
  </si>
  <si>
    <t>2025-09-10</t>
  </si>
  <si>
    <t>tariq.rahman67@example.com</t>
  </si>
  <si>
    <t>052-985-9816</t>
  </si>
  <si>
    <t>EMP1068</t>
  </si>
  <si>
    <t>Rami Omar</t>
  </si>
  <si>
    <t>IT Support-Dammam</t>
  </si>
  <si>
    <t>02-02-2020</t>
  </si>
  <si>
    <t>rami.omar68@example.com</t>
  </si>
  <si>
    <t>057-833-3915</t>
  </si>
  <si>
    <t>EMP1069</t>
  </si>
  <si>
    <t>Marketing-Madinah</t>
  </si>
  <si>
    <t>02/02/2025</t>
  </si>
  <si>
    <t>salma.ahmed69@example.com</t>
  </si>
  <si>
    <t>054-800-3915</t>
  </si>
  <si>
    <t>EMP1070</t>
  </si>
  <si>
    <t>Zaid Hadi</t>
  </si>
  <si>
    <t>07/11/2025</t>
  </si>
  <si>
    <t>zaid.hadi70@example.com</t>
  </si>
  <si>
    <t>057-347-8000</t>
  </si>
  <si>
    <t>Department</t>
  </si>
  <si>
    <t>Region</t>
  </si>
  <si>
    <t>Operations</t>
  </si>
  <si>
    <t>Makkah</t>
  </si>
  <si>
    <t>HR</t>
  </si>
  <si>
    <t>Tabuk</t>
  </si>
  <si>
    <t>Finance</t>
  </si>
  <si>
    <t>Jeddah</t>
  </si>
  <si>
    <t>Madinah</t>
  </si>
  <si>
    <t>Marketing</t>
  </si>
  <si>
    <t>Riyadh</t>
  </si>
  <si>
    <t>Sales</t>
  </si>
  <si>
    <t>Data Analytics</t>
  </si>
  <si>
    <t>Dammam</t>
  </si>
  <si>
    <t>IT Support</t>
  </si>
  <si>
    <t>Cloud Tech</t>
  </si>
  <si>
    <t>salma.malik41@example.com</t>
  </si>
  <si>
    <t>EMP1071</t>
  </si>
  <si>
    <t>Yahya</t>
  </si>
  <si>
    <t>Yahya Khan</t>
  </si>
  <si>
    <t>yahyakhan95@gmail.com</t>
  </si>
  <si>
    <t>053-692-6069</t>
  </si>
  <si>
    <t>YaHya</t>
  </si>
  <si>
    <t>Total Employees</t>
  </si>
  <si>
    <t>Active Employees</t>
  </si>
  <si>
    <t>Inactive Employees</t>
  </si>
  <si>
    <t>Pending Employees</t>
  </si>
  <si>
    <t>Total Salary</t>
  </si>
  <si>
    <t>Average Salary</t>
  </si>
  <si>
    <t>Highest Salary</t>
  </si>
  <si>
    <t>Lowest Salary</t>
  </si>
  <si>
    <r>
      <t xml:space="preserve">Average Salary — </t>
    </r>
    <r>
      <rPr>
        <sz val="9"/>
        <rFont val="Carlito"/>
      </rPr>
      <t>Active Employees</t>
    </r>
  </si>
  <si>
    <r>
      <t>Average Salary —</t>
    </r>
    <r>
      <rPr>
        <sz val="9"/>
        <rFont val="Carlito"/>
      </rPr>
      <t xml:space="preserve"> Inactive Employees</t>
    </r>
  </si>
  <si>
    <r>
      <t xml:space="preserve">Average Salary — </t>
    </r>
    <r>
      <rPr>
        <sz val="9"/>
        <rFont val="Carlito"/>
      </rPr>
      <t>Pending Employees</t>
    </r>
  </si>
  <si>
    <t>Workforce Overview</t>
  </si>
  <si>
    <t>Salary Overview</t>
  </si>
  <si>
    <t>Age &amp; Work Arrangement</t>
  </si>
  <si>
    <t>Average Employee Age</t>
  </si>
  <si>
    <t>Youngest Employee Age</t>
  </si>
  <si>
    <t>Oldest Employee Age</t>
  </si>
  <si>
    <t>Remote Employees</t>
  </si>
  <si>
    <t>Non-Remote Employees</t>
  </si>
  <si>
    <t>Department Overview</t>
  </si>
  <si>
    <t>Employee Count</t>
  </si>
  <si>
    <t>Department Insights</t>
  </si>
  <si>
    <t>Department with Most Employees</t>
  </si>
  <si>
    <t>Department with Highest Average Salary</t>
  </si>
  <si>
    <t>Department with Lowest Average Salary</t>
  </si>
  <si>
    <t>Region Overview</t>
  </si>
  <si>
    <t>Region Insights</t>
  </si>
  <si>
    <t xml:space="preserve">Region with Most Employees </t>
  </si>
  <si>
    <t xml:space="preserve">Region with Highest Average Salary  </t>
  </si>
  <si>
    <t>Performance Overview</t>
  </si>
  <si>
    <t>Performance Rating</t>
  </si>
  <si>
    <t>Most Common Performance Rating</t>
  </si>
  <si>
    <t>Performance Insights</t>
  </si>
  <si>
    <t>Department Status Analysis</t>
  </si>
  <si>
    <t>Department Salary Analysis</t>
  </si>
  <si>
    <t>Remote Work &amp; Performance Analysis</t>
  </si>
  <si>
    <t>Performance</t>
  </si>
  <si>
    <t>Remote</t>
  </si>
  <si>
    <t>Non-Remote</t>
  </si>
  <si>
    <t>Remote %</t>
  </si>
  <si>
    <t>Non-Remote %</t>
  </si>
  <si>
    <t>HR_Flag</t>
  </si>
  <si>
    <t>Priority_Review</t>
  </si>
  <si>
    <t>Department HR Summary</t>
  </si>
  <si>
    <t>Needs Attention</t>
  </si>
  <si>
    <t>Priority Review</t>
  </si>
  <si>
    <t>Row Labels</t>
  </si>
  <si>
    <t>Grand Total</t>
  </si>
  <si>
    <t>Count of Employee_ID</t>
  </si>
  <si>
    <t>Average of Salary</t>
  </si>
  <si>
    <t>Column Labels</t>
  </si>
  <si>
    <t>FALSE</t>
  </si>
  <si>
    <t>(blank)</t>
  </si>
  <si>
    <t>HR EMPLOYEE ANALYTICS DASHBOARD</t>
  </si>
  <si>
    <t>Workforce • Salary • Performance • HR Attention</t>
  </si>
  <si>
    <t>Key HR Insights</t>
  </si>
  <si>
    <r>
      <t xml:space="preserve">Sales has the largest workforce with </t>
    </r>
    <r>
      <rPr>
        <b/>
        <sz val="11"/>
        <rFont val="Carlito"/>
      </rPr>
      <t>11 employees</t>
    </r>
    <r>
      <rPr>
        <sz val="11"/>
        <rFont val="Carlito"/>
      </rPr>
      <t>.</t>
    </r>
  </si>
  <si>
    <r>
      <t xml:space="preserve">Cloud Tech has the highest average salary at approximately </t>
    </r>
    <r>
      <rPr>
        <b/>
        <sz val="11"/>
        <rFont val="Carlito"/>
      </rPr>
      <t>15,556</t>
    </r>
    <r>
      <rPr>
        <sz val="11"/>
        <rFont val="Carlito"/>
      </rPr>
      <t>.</t>
    </r>
  </si>
  <si>
    <t>Jeddah has the highest employee count among all regions.</t>
  </si>
  <si>
    <r>
      <t xml:space="preserve">Good is the most common performance rating with </t>
    </r>
    <r>
      <rPr>
        <b/>
        <sz val="11"/>
        <rFont val="Carlito"/>
      </rPr>
      <t>24 employees</t>
    </r>
    <r>
      <rPr>
        <sz val="11"/>
        <rFont val="Carlito"/>
      </rPr>
      <t>.</t>
    </r>
  </si>
  <si>
    <t>Remote employees have higher counts in the Good and Average performance categories than non-remote employees.</t>
  </si>
  <si>
    <t>Data Analytics, Cloud Tech, and Marketing are tied for the highest number of employees flagged as Needs Attention.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</si>
</sst>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_([$$-409]* #,##0.00_);_([$$-409]* \(#,##0.00\);_([$$-409]* &quot;-&quot;??_);_(@_)"/>
  </numFmts>
  <fonts count="12">
    <font>
      <sz val="11"/>
      <name val="Carlito"/>
    </font>
    <font>
      <b/>
      <sz val="11"/>
      <color rgb="FFFFFFFF"/>
      <name val="Carlito"/>
    </font>
    <font>
      <sz val="11"/>
      <name val="Carlito"/>
    </font>
    <font>
      <u/>
      <sz val="11"/>
      <color theme="10"/>
      <name val="Carlito"/>
    </font>
    <font>
      <sz val="8"/>
      <name val="Carlito"/>
    </font>
    <font>
      <sz val="9"/>
      <name val="Carlito"/>
    </font>
    <font>
      <b/>
      <sz val="11"/>
      <name val="Carlito"/>
    </font>
    <font>
      <b/>
      <sz val="13"/>
      <color theme="0"/>
      <name val="Carlito"/>
    </font>
    <font>
      <b/>
      <sz val="14"/>
      <color theme="0"/>
      <name val="Carlito"/>
    </font>
    <font>
      <b/>
      <sz val="11"/>
      <color theme="0"/>
      <name val="Carlito"/>
    </font>
    <font>
      <sz val="11"/>
      <color theme="6" tint="-0.499984740745262"/>
      <name val="Carlito"/>
    </font>
    <font>
      <b/>
      <sz val="24"/>
      <color theme="0"/>
      <name val="Carlito"/>
    </font>
  </fonts>
  <fills count="6">
    <fill>
      <patternFill patternType="none"/>
    </fill>
    <fill>
      <patternFill patternType="gray125"/>
    </fill>
    <fill>
      <patternFill patternType="solid">
        <fgColor theme="5"/>
        <bgColor indexed="64"/>
      </patternFill>
    </fill>
    <fill>
      <patternFill patternType="solid">
        <fgColor theme="9"/>
        <bgColor theme="9"/>
      </patternFill>
    </fill>
    <fill>
      <patternFill patternType="solid">
        <fgColor theme="9" tint="0.79998168889431442"/>
        <bgColor indexed="64"/>
      </patternFill>
    </fill>
    <fill>
      <patternFill patternType="solid">
        <fgColor theme="9"/>
        <bgColor indexed="64"/>
      </patternFill>
    </fill>
  </fills>
  <borders count="6">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style="thin">
        <color theme="9" tint="0.39997558519241921"/>
      </left>
      <right/>
      <top/>
      <bottom/>
      <diagonal/>
    </border>
    <border>
      <left/>
      <right/>
      <top style="thin">
        <color theme="9" tint="0.39997558519241921"/>
      </top>
      <bottom style="thin">
        <color indexed="64"/>
      </bottom>
      <diagonal/>
    </border>
    <border>
      <left/>
      <right/>
      <top/>
      <bottom style="thin">
        <color indexed="64"/>
      </bottom>
      <diagonal/>
    </border>
  </borders>
  <cellStyleXfs count="4">
    <xf numFmtId="0" fontId="0" fillId="0" borderId="0"/>
    <xf numFmtId="44" fontId="2" fillId="0" borderId="0" applyFont="0" applyFill="0" applyBorder="0" applyAlignment="0" applyProtection="0"/>
    <xf numFmtId="0" fontId="3" fillId="0" borderId="0" applyNumberFormat="0" applyFill="0" applyBorder="0" applyAlignment="0" applyProtection="0"/>
    <xf numFmtId="9" fontId="2" fillId="0" borderId="0" applyFont="0" applyFill="0" applyBorder="0" applyAlignment="0" applyProtection="0"/>
  </cellStyleXfs>
  <cellXfs count="34">
    <xf numFmtId="0" fontId="0" fillId="0" borderId="0" xfId="0"/>
    <xf numFmtId="0" fontId="0" fillId="0" borderId="0" xfId="0">
      <extLst>
        <ext xmlns:xfpb="http://schemas.microsoft.com/office/spreadsheetml/2022/featurepropertybag" uri="{C7286773-470A-42A8-94C5-96B5CB345126}">
          <xfpb:xfComplement i="0"/>
        </ext>
      </extLst>
    </xf>
    <xf numFmtId="0" fontId="1" fillId="2" borderId="0" xfId="0" applyFont="1" applyFill="1" applyAlignment="1">
      <alignment horizontal="center"/>
    </xf>
    <xf numFmtId="14" fontId="0" fillId="0" borderId="0" xfId="0" applyNumberFormat="1"/>
    <xf numFmtId="0" fontId="0" fillId="0" borderId="0" xfId="0" applyAlignment="1">
      <alignment horizontal="center"/>
    </xf>
    <xf numFmtId="0" fontId="3" fillId="0" borderId="0" xfId="2"/>
    <xf numFmtId="0" fontId="0" fillId="0" borderId="0" xfId="0" applyAlignment="1">
      <alignment vertical="center" wrapText="1"/>
    </xf>
    <xf numFmtId="164" fontId="0" fillId="0" borderId="0" xfId="1" applyNumberFormat="1" applyFont="1" applyAlignment="1">
      <alignment horizontal="right" vertical="center"/>
    </xf>
    <xf numFmtId="44" fontId="0" fillId="0" borderId="0" xfId="1" applyFont="1" applyAlignment="1">
      <alignment horizontal="right" vertical="center"/>
    </xf>
    <xf numFmtId="44" fontId="0" fillId="0" borderId="0" xfId="1" applyFont="1" applyAlignment="1"/>
    <xf numFmtId="1" fontId="0" fillId="0" borderId="0" xfId="0" applyNumberFormat="1"/>
    <xf numFmtId="2" fontId="0" fillId="0" borderId="0" xfId="0" applyNumberFormat="1"/>
    <xf numFmtId="0" fontId="0" fillId="0" borderId="0" xfId="0" applyAlignment="1">
      <alignment horizontal="left"/>
    </xf>
    <xf numFmtId="0" fontId="6" fillId="0" borderId="0" xfId="0" applyFont="1"/>
    <xf numFmtId="0" fontId="0" fillId="0" borderId="0" xfId="0" applyAlignment="1">
      <alignment horizontal="right" vertical="center" wrapText="1"/>
    </xf>
    <xf numFmtId="0" fontId="6" fillId="0" borderId="4" xfId="0" applyFont="1" applyBorder="1" applyAlignment="1">
      <alignment horizontal="center"/>
    </xf>
    <xf numFmtId="0" fontId="6" fillId="0" borderId="5" xfId="0" applyFont="1" applyBorder="1"/>
    <xf numFmtId="0" fontId="6" fillId="0" borderId="4" xfId="0" applyFont="1" applyBorder="1" applyAlignment="1">
      <alignment horizontal="center" vertical="center" wrapText="1"/>
    </xf>
    <xf numFmtId="0" fontId="6" fillId="0" borderId="4" xfId="0" applyFont="1" applyBorder="1" applyAlignment="1">
      <alignment horizontal="right" vertical="center" wrapText="1"/>
    </xf>
    <xf numFmtId="0" fontId="7" fillId="3" borderId="1" xfId="0" applyFont="1" applyFill="1" applyBorder="1" applyAlignment="1">
      <alignment horizontal="center"/>
    </xf>
    <xf numFmtId="2" fontId="0" fillId="0" borderId="0" xfId="0" applyNumberFormat="1" applyAlignment="1">
      <alignment horizontal="right" vertical="center" wrapText="1"/>
    </xf>
    <xf numFmtId="9" fontId="0" fillId="0" borderId="0" xfId="3" applyFont="1"/>
    <xf numFmtId="0" fontId="6" fillId="0" borderId="5" xfId="0" applyFont="1" applyBorder="1" applyAlignment="1">
      <alignment horizontal="center" vertical="center" wrapText="1"/>
    </xf>
    <xf numFmtId="0" fontId="0" fillId="0" borderId="0" xfId="0" pivotButton="1"/>
    <xf numFmtId="44" fontId="0" fillId="0" borderId="0" xfId="0" applyNumberFormat="1"/>
    <xf numFmtId="0" fontId="9" fillId="5" borderId="0" xfId="0" applyFont="1" applyFill="1" applyAlignment="1">
      <alignment vertical="center" wrapText="1"/>
    </xf>
    <xf numFmtId="0" fontId="10" fillId="4" borderId="0" xfId="0" applyFont="1" applyFill="1" applyAlignment="1">
      <alignment horizontal="center"/>
    </xf>
    <xf numFmtId="0" fontId="11" fillId="3" borderId="3" xfId="0" applyFont="1" applyFill="1" applyBorder="1" applyAlignment="1">
      <alignment horizontal="center"/>
    </xf>
    <xf numFmtId="0" fontId="11" fillId="3" borderId="0" xfId="0" applyFont="1" applyFill="1" applyAlignment="1">
      <alignment horizontal="center"/>
    </xf>
    <xf numFmtId="0" fontId="0" fillId="0" borderId="0" xfId="0" applyAlignment="1">
      <alignment horizontal="left"/>
    </xf>
    <xf numFmtId="0" fontId="8" fillId="5" borderId="0" xfId="0" applyFont="1" applyFill="1" applyAlignment="1">
      <alignment horizontal="center"/>
    </xf>
    <xf numFmtId="0" fontId="7" fillId="3" borderId="1" xfId="0" applyFont="1" applyFill="1" applyBorder="1" applyAlignment="1">
      <alignment horizontal="center"/>
    </xf>
    <xf numFmtId="0" fontId="7" fillId="3" borderId="2" xfId="0" applyFont="1" applyFill="1" applyBorder="1" applyAlignment="1">
      <alignment horizontal="center"/>
    </xf>
    <xf numFmtId="0" fontId="0" fillId="0" borderId="0" xfId="0" applyNumberFormat="1"/>
  </cellXfs>
  <cellStyles count="4">
    <cellStyle name="Currency" xfId="1" builtinId="4"/>
    <cellStyle name="Hyperlink" xfId="2" builtinId="8"/>
    <cellStyle name="Normal" xfId="0" builtinId="0"/>
    <cellStyle name="Percent" xfId="3" builtinId="5"/>
  </cellStyles>
  <dxfs count="18">
    <dxf>
      <numFmt numFmtId="19" formatCode="dd/mm/yy"/>
    </dxf>
    <dxf>
      <numFmt numFmtId="2" formatCode="0.00"/>
    </dxf>
    <dxf>
      <numFmt numFmtId="2" formatCode="0.00"/>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fill>
        <patternFill patternType="solid">
          <fgColor indexed="64"/>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microsoft.com/office/2022/11/relationships/FeaturePropertyBag" Target="featurePropertyBag/featurePropertyBag.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[HR_Employee_Data_Project_1.xlsx]Pivot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Count by Department</a:t>
            </a:r>
          </a:p>
        </c:rich>
      </c:tx>
      <c:layout>
        <c:manualLayout>
          <c:xMode val="edge"/>
          <c:yMode val="edge"/>
          <c:x val="0.23348479378967971"/>
          <c:y val="4.197619778464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c:f>
              <c:strCache>
                <c:ptCount val="1"/>
                <c:pt idx="0">
                  <c:v>Total</c:v>
                </c:pt>
              </c:strCache>
            </c:strRef>
          </c:tx>
          <c:spPr>
            <a:solidFill>
              <a:schemeClr val="accent1"/>
            </a:solidFill>
            <a:ln>
              <a:noFill/>
            </a:ln>
            <a:effectLst/>
          </c:spPr>
          <c:invertIfNegative val="0"/>
          <c:cat>
            <c:strRef>
              <c:f>'Pivot Analysis'!$A$2:$A$10</c:f>
              <c:strCache>
                <c:ptCount val="8"/>
                <c:pt idx="0">
                  <c:v>Cloud Tech</c:v>
                </c:pt>
                <c:pt idx="1">
                  <c:v>Data Analytics</c:v>
                </c:pt>
                <c:pt idx="2">
                  <c:v>Finance</c:v>
                </c:pt>
                <c:pt idx="3">
                  <c:v>HR</c:v>
                </c:pt>
                <c:pt idx="4">
                  <c:v>IT Support</c:v>
                </c:pt>
                <c:pt idx="5">
                  <c:v>Marketing</c:v>
                </c:pt>
                <c:pt idx="6">
                  <c:v>Operations</c:v>
                </c:pt>
                <c:pt idx="7">
                  <c:v>Sales</c:v>
                </c:pt>
              </c:strCache>
            </c:strRef>
          </c:cat>
          <c:val>
            <c:numRef>
              <c:f>'Pivot Analysis'!$B$2:$B$10</c:f>
              <c:numCache>
                <c:formatCode>General</c:formatCode>
                <c:ptCount val="8"/>
                <c:pt idx="0">
                  <c:v>9</c:v>
                </c:pt>
                <c:pt idx="1">
                  <c:v>8</c:v>
                </c:pt>
                <c:pt idx="2">
                  <c:v>7</c:v>
                </c:pt>
                <c:pt idx="3">
                  <c:v>9</c:v>
                </c:pt>
                <c:pt idx="4">
                  <c:v>7</c:v>
                </c:pt>
                <c:pt idx="5">
                  <c:v>9</c:v>
                </c:pt>
                <c:pt idx="6">
                  <c:v>9</c:v>
                </c:pt>
                <c:pt idx="7">
                  <c:v>11</c:v>
                </c:pt>
              </c:numCache>
            </c:numRef>
          </c:val>
          <c:extLst>
            <c:ext xmlns:c16="http://schemas.microsoft.com/office/drawing/2014/chart" uri="{C3380CC4-5D6E-409C-BE32-E72D297353CC}">
              <c16:uniqueId val="{00000000-83B3-4B41-BE5C-1C5B711F47DA}"/>
            </c:ext>
          </c:extLst>
        </c:ser>
        <c:dLbls>
          <c:showLegendKey val="0"/>
          <c:showVal val="0"/>
          <c:showCatName val="0"/>
          <c:showSerName val="0"/>
          <c:showPercent val="0"/>
          <c:showBubbleSize val="0"/>
        </c:dLbls>
        <c:gapWidth val="219"/>
        <c:overlap val="-27"/>
        <c:axId val="1918864144"/>
        <c:axId val="2023611024"/>
      </c:barChart>
      <c:catAx>
        <c:axId val="191886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611024"/>
        <c:crosses val="autoZero"/>
        <c:auto val="1"/>
        <c:lblAlgn val="ctr"/>
        <c:lblOffset val="100"/>
        <c:noMultiLvlLbl val="0"/>
      </c:catAx>
      <c:valAx>
        <c:axId val="202361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86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[HR_Employee_Data_Project_1.xlsx]Pivot 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Analysis'!$H$1</c:f>
              <c:strCache>
                <c:ptCount val="1"/>
                <c:pt idx="0">
                  <c:v>Total</c:v>
                </c:pt>
              </c:strCache>
            </c:strRef>
          </c:tx>
          <c:spPr>
            <a:solidFill>
              <a:schemeClr val="accent1"/>
            </a:solidFill>
            <a:ln>
              <a:noFill/>
            </a:ln>
            <a:effectLst/>
          </c:spPr>
          <c:invertIfNegative val="0"/>
          <c:cat>
            <c:strRef>
              <c:f>'Pivot Analysis'!$G$2:$G$10</c:f>
              <c:strCache>
                <c:ptCount val="8"/>
                <c:pt idx="0">
                  <c:v>Cloud Tech</c:v>
                </c:pt>
                <c:pt idx="1">
                  <c:v>Data Analytics</c:v>
                </c:pt>
                <c:pt idx="2">
                  <c:v>Finance</c:v>
                </c:pt>
                <c:pt idx="3">
                  <c:v>HR</c:v>
                </c:pt>
                <c:pt idx="4">
                  <c:v>IT Support</c:v>
                </c:pt>
                <c:pt idx="5">
                  <c:v>Marketing</c:v>
                </c:pt>
                <c:pt idx="6">
                  <c:v>Operations</c:v>
                </c:pt>
                <c:pt idx="7">
                  <c:v>Sales</c:v>
                </c:pt>
              </c:strCache>
            </c:strRef>
          </c:cat>
          <c:val>
            <c:numRef>
              <c:f>'Pivot Analysis'!$H$2:$H$10</c:f>
              <c:numCache>
                <c:formatCode>0.00</c:formatCode>
                <c:ptCount val="8"/>
                <c:pt idx="0">
                  <c:v>15555.555555555555</c:v>
                </c:pt>
                <c:pt idx="1">
                  <c:v>14685.714285714286</c:v>
                </c:pt>
                <c:pt idx="2">
                  <c:v>10614.285714285714</c:v>
                </c:pt>
                <c:pt idx="3">
                  <c:v>9044.4444444444453</c:v>
                </c:pt>
                <c:pt idx="4">
                  <c:v>10085.714285714286</c:v>
                </c:pt>
                <c:pt idx="5">
                  <c:v>12870</c:v>
                </c:pt>
                <c:pt idx="6">
                  <c:v>13066.666666666666</c:v>
                </c:pt>
                <c:pt idx="7">
                  <c:v>13577.777777777777</c:v>
                </c:pt>
              </c:numCache>
            </c:numRef>
          </c:val>
          <c:extLst>
            <c:ext xmlns:c16="http://schemas.microsoft.com/office/drawing/2014/chart" uri="{C3380CC4-5D6E-409C-BE32-E72D297353CC}">
              <c16:uniqueId val="{00000000-FBA2-46CA-8816-FDC12CB1827B}"/>
            </c:ext>
          </c:extLst>
        </c:ser>
        <c:dLbls>
          <c:showLegendKey val="0"/>
          <c:showVal val="0"/>
          <c:showCatName val="0"/>
          <c:showSerName val="0"/>
          <c:showPercent val="0"/>
          <c:showBubbleSize val="0"/>
        </c:dLbls>
        <c:gapWidth val="182"/>
        <c:axId val="148795584"/>
        <c:axId val="2023513584"/>
      </c:barChart>
      <c:catAx>
        <c:axId val="14879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13584"/>
        <c:crosses val="autoZero"/>
        <c:auto val="1"/>
        <c:lblAlgn val="ctr"/>
        <c:lblOffset val="100"/>
        <c:noMultiLvlLbl val="0"/>
      </c:catAx>
      <c:valAx>
        <c:axId val="202351358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[HR_Employee_Data_Project_1.xlsx]Pivot Analysis!PivotTable5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Remote vs Non-Remote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Analysis'!$M$1:$M$2</c:f>
              <c:strCache>
                <c:ptCount val="1"/>
                <c:pt idx="0">
                  <c:v>FALSE</c:v>
                </c:pt>
              </c:strCache>
            </c:strRef>
          </c:tx>
          <c:spPr>
            <a:solidFill>
              <a:schemeClr val="accent1"/>
            </a:solidFill>
            <a:ln>
              <a:noFill/>
            </a:ln>
            <a:effectLst/>
          </c:spPr>
          <c:invertIfNegative val="0"/>
          <c:cat>
            <c:strRef>
              <c:f>'Pivot Analysis'!$L$3:$L$7</c:f>
              <c:strCache>
                <c:ptCount val="4"/>
                <c:pt idx="0">
                  <c:v>Average</c:v>
                </c:pt>
                <c:pt idx="1">
                  <c:v>Excellent</c:v>
                </c:pt>
                <c:pt idx="2">
                  <c:v>Good</c:v>
                </c:pt>
                <c:pt idx="3">
                  <c:v>Needs Improvement</c:v>
                </c:pt>
              </c:strCache>
            </c:strRef>
          </c:cat>
          <c:val>
            <c:numRef>
              <c:f>'Pivot Analysis'!$M$3:$M$7</c:f>
              <c:numCache>
                <c:formatCode>General</c:formatCode>
                <c:ptCount val="4"/>
                <c:pt idx="0">
                  <c:v>7</c:v>
                </c:pt>
                <c:pt idx="1">
                  <c:v>5</c:v>
                </c:pt>
                <c:pt idx="2">
                  <c:v>10</c:v>
                </c:pt>
                <c:pt idx="3">
                  <c:v>6</c:v>
                </c:pt>
              </c:numCache>
            </c:numRef>
          </c:val>
          <c:extLst>
            <c:ext xmlns:c16="http://schemas.microsoft.com/office/drawing/2014/chart" uri="{C3380CC4-5D6E-409C-BE32-E72D297353CC}">
              <c16:uniqueId val="{00000000-27EB-4398-B06B-A4204C093CC5}"/>
            </c:ext>
          </c:extLst>
        </c:ser>
        <c:ser>
          <c:idx val="1"/>
          <c:order val="1"/>
          <c:tx>
            <c:strRef>
              <c:f>'Pivot Analysis'!$N$1:$N$2</c:f>
              <c:strCache>
                <c:ptCount val="1"/>
                <c:pt idx="0">
                  <c:v>TRUE</c:v>
                </c:pt>
              </c:strCache>
            </c:strRef>
          </c:tx>
          <c:spPr>
            <a:solidFill>
              <a:schemeClr val="accent2"/>
            </a:solidFill>
            <a:ln>
              <a:noFill/>
            </a:ln>
            <a:effectLst/>
          </c:spPr>
          <c:invertIfNegative val="0"/>
          <c:cat>
            <c:strRef>
              <c:f>'Pivot Analysis'!$L$3:$L$7</c:f>
              <c:strCache>
                <c:ptCount val="4"/>
                <c:pt idx="0">
                  <c:v>Average</c:v>
                </c:pt>
                <c:pt idx="1">
                  <c:v>Excellent</c:v>
                </c:pt>
                <c:pt idx="2">
                  <c:v>Good</c:v>
                </c:pt>
                <c:pt idx="3">
                  <c:v>Needs Improvement</c:v>
                </c:pt>
              </c:strCache>
            </c:strRef>
          </c:cat>
          <c:val>
            <c:numRef>
              <c:f>'Pivot Analysis'!$N$3:$N$7</c:f>
              <c:numCache>
                <c:formatCode>General</c:formatCode>
                <c:ptCount val="4"/>
                <c:pt idx="0">
                  <c:v>14</c:v>
                </c:pt>
                <c:pt idx="1">
                  <c:v>6</c:v>
                </c:pt>
                <c:pt idx="2">
                  <c:v>14</c:v>
                </c:pt>
                <c:pt idx="3">
                  <c:v>6</c:v>
                </c:pt>
              </c:numCache>
            </c:numRef>
          </c:val>
          <c:extLst>
            <c:ext xmlns:c16="http://schemas.microsoft.com/office/drawing/2014/chart" uri="{C3380CC4-5D6E-409C-BE32-E72D297353CC}">
              <c16:uniqueId val="{00000000-48C1-44C3-BFF5-97D0417A8968}"/>
            </c:ext>
          </c:extLst>
        </c:ser>
        <c:ser>
          <c:idx val="2"/>
          <c:order val="2"/>
          <c:tx>
            <c:strRef>
              <c:f>'Pivot Analysis'!$O$1:$O$2</c:f>
              <c:strCache>
                <c:ptCount val="1"/>
                <c:pt idx="0">
                  <c:v>(blank)</c:v>
                </c:pt>
              </c:strCache>
            </c:strRef>
          </c:tx>
          <c:spPr>
            <a:solidFill>
              <a:schemeClr val="accent3"/>
            </a:solidFill>
            <a:ln>
              <a:noFill/>
            </a:ln>
            <a:effectLst/>
          </c:spPr>
          <c:invertIfNegative val="0"/>
          <c:cat>
            <c:strRef>
              <c:f>'Pivot Analysis'!$L$3:$L$7</c:f>
              <c:strCache>
                <c:ptCount val="4"/>
                <c:pt idx="0">
                  <c:v>Average</c:v>
                </c:pt>
                <c:pt idx="1">
                  <c:v>Excellent</c:v>
                </c:pt>
                <c:pt idx="2">
                  <c:v>Good</c:v>
                </c:pt>
                <c:pt idx="3">
                  <c:v>Needs Improvement</c:v>
                </c:pt>
              </c:strCache>
            </c:strRef>
          </c:cat>
          <c:val>
            <c:numRef>
              <c:f>'Pivot Analysis'!$O$3:$O$7</c:f>
              <c:numCache>
                <c:formatCode>General</c:formatCode>
                <c:ptCount val="4"/>
                <c:pt idx="1">
                  <c:v>1</c:v>
                </c:pt>
              </c:numCache>
            </c:numRef>
          </c:val>
          <c:extLst>
            <c:ext xmlns:c16="http://schemas.microsoft.com/office/drawing/2014/chart" uri="{C3380CC4-5D6E-409C-BE32-E72D297353CC}">
              <c16:uniqueId val="{00000002-48C1-44C3-BFF5-97D0417A8968}"/>
            </c:ext>
          </c:extLst>
        </c:ser>
        <c:dLbls>
          <c:showLegendKey val="0"/>
          <c:showVal val="0"/>
          <c:showCatName val="0"/>
          <c:showSerName val="0"/>
          <c:showPercent val="0"/>
          <c:showBubbleSize val="0"/>
        </c:dLbls>
        <c:gapWidth val="219"/>
        <c:overlap val="-27"/>
        <c:axId val="188686000"/>
        <c:axId val="1639546960"/>
      </c:barChart>
      <c:catAx>
        <c:axId val="18868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546960"/>
        <c:crosses val="autoZero"/>
        <c:auto val="1"/>
        <c:lblAlgn val="ctr"/>
        <c:lblOffset val="100"/>
        <c:noMultiLvlLbl val="0"/>
      </c:catAx>
      <c:valAx>
        <c:axId val="163954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8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[HR_Employee_Data_Project_1.xlsx]Pivot Analysis!PivotTable1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Employee Count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Analysis'!$B$1</c:f>
              <c:strCache>
                <c:ptCount val="1"/>
                <c:pt idx="0">
                  <c:v>Total</c:v>
                </c:pt>
              </c:strCache>
            </c:strRef>
          </c:tx>
          <c:spPr>
            <a:solidFill>
              <a:schemeClr val="accent1"/>
            </a:solidFill>
            <a:ln>
              <a:noFill/>
            </a:ln>
            <a:effectLst/>
          </c:spPr>
          <c:invertIfNegative val="0"/>
          <c:cat>
            <c:strRef>
              <c:f>'Pivot Analysis'!$A$2:$A$10</c:f>
              <c:strCache>
                <c:ptCount val="8"/>
                <c:pt idx="0">
                  <c:v>Cloud Tech</c:v>
                </c:pt>
                <c:pt idx="1">
                  <c:v>Data Analytics</c:v>
                </c:pt>
                <c:pt idx="2">
                  <c:v>Finance</c:v>
                </c:pt>
                <c:pt idx="3">
                  <c:v>HR</c:v>
                </c:pt>
                <c:pt idx="4">
                  <c:v>IT Support</c:v>
                </c:pt>
                <c:pt idx="5">
                  <c:v>Marketing</c:v>
                </c:pt>
                <c:pt idx="6">
                  <c:v>Operations</c:v>
                </c:pt>
                <c:pt idx="7">
                  <c:v>Sales</c:v>
                </c:pt>
              </c:strCache>
            </c:strRef>
          </c:cat>
          <c:val>
            <c:numRef>
              <c:f>'Pivot Analysis'!$B$2:$B$10</c:f>
              <c:numCache>
                <c:formatCode>General</c:formatCode>
                <c:ptCount val="8"/>
                <c:pt idx="0">
                  <c:v>9</c:v>
                </c:pt>
                <c:pt idx="1">
                  <c:v>8</c:v>
                </c:pt>
                <c:pt idx="2">
                  <c:v>7</c:v>
                </c:pt>
                <c:pt idx="3">
                  <c:v>9</c:v>
                </c:pt>
                <c:pt idx="4">
                  <c:v>7</c:v>
                </c:pt>
                <c:pt idx="5">
                  <c:v>9</c:v>
                </c:pt>
                <c:pt idx="6">
                  <c:v>9</c:v>
                </c:pt>
                <c:pt idx="7">
                  <c:v>11</c:v>
                </c:pt>
              </c:numCache>
            </c:numRef>
          </c:val>
          <c:extLst>
            <c:ext xmlns:c16="http://schemas.microsoft.com/office/drawing/2014/chart" uri="{C3380CC4-5D6E-409C-BE32-E72D297353CC}">
              <c16:uniqueId val="{00000000-8EFA-483A-B230-E85EFE2D7EDA}"/>
            </c:ext>
          </c:extLst>
        </c:ser>
        <c:dLbls>
          <c:showLegendKey val="0"/>
          <c:showVal val="0"/>
          <c:showCatName val="0"/>
          <c:showSerName val="0"/>
          <c:showPercent val="0"/>
          <c:showBubbleSize val="0"/>
        </c:dLbls>
        <c:gapWidth val="219"/>
        <c:overlap val="-27"/>
        <c:axId val="1918864144"/>
        <c:axId val="2023611024"/>
      </c:barChart>
      <c:catAx>
        <c:axId val="191886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611024"/>
        <c:crosses val="autoZero"/>
        <c:auto val="1"/>
        <c:lblAlgn val="ctr"/>
        <c:lblOffset val="100"/>
        <c:noMultiLvlLbl val="0"/>
      </c:catAx>
      <c:valAx>
        <c:axId val="2023611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886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[HR_Employee_Data_Project_1.xlsx]Pivot Analysis!PivotTable4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Salary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Analysis'!$H$1</c:f>
              <c:strCache>
                <c:ptCount val="1"/>
                <c:pt idx="0">
                  <c:v>Total</c:v>
                </c:pt>
              </c:strCache>
            </c:strRef>
          </c:tx>
          <c:spPr>
            <a:solidFill>
              <a:schemeClr val="accent1"/>
            </a:solidFill>
            <a:ln>
              <a:noFill/>
            </a:ln>
            <a:effectLst/>
          </c:spPr>
          <c:invertIfNegative val="0"/>
          <c:cat>
            <c:strRef>
              <c:f>'Pivot Analysis'!$G$2:$G$10</c:f>
              <c:strCache>
                <c:ptCount val="8"/>
                <c:pt idx="0">
                  <c:v>Cloud Tech</c:v>
                </c:pt>
                <c:pt idx="1">
                  <c:v>Data Analytics</c:v>
                </c:pt>
                <c:pt idx="2">
                  <c:v>Finance</c:v>
                </c:pt>
                <c:pt idx="3">
                  <c:v>HR</c:v>
                </c:pt>
                <c:pt idx="4">
                  <c:v>IT Support</c:v>
                </c:pt>
                <c:pt idx="5">
                  <c:v>Marketing</c:v>
                </c:pt>
                <c:pt idx="6">
                  <c:v>Operations</c:v>
                </c:pt>
                <c:pt idx="7">
                  <c:v>Sales</c:v>
                </c:pt>
              </c:strCache>
            </c:strRef>
          </c:cat>
          <c:val>
            <c:numRef>
              <c:f>'Pivot Analysis'!$H$2:$H$10</c:f>
              <c:numCache>
                <c:formatCode>0.00</c:formatCode>
                <c:ptCount val="8"/>
                <c:pt idx="0">
                  <c:v>15555.555555555555</c:v>
                </c:pt>
                <c:pt idx="1">
                  <c:v>14685.714285714286</c:v>
                </c:pt>
                <c:pt idx="2">
                  <c:v>10614.285714285714</c:v>
                </c:pt>
                <c:pt idx="3">
                  <c:v>9044.4444444444453</c:v>
                </c:pt>
                <c:pt idx="4">
                  <c:v>10085.714285714286</c:v>
                </c:pt>
                <c:pt idx="5">
                  <c:v>12870</c:v>
                </c:pt>
                <c:pt idx="6">
                  <c:v>13066.666666666666</c:v>
                </c:pt>
                <c:pt idx="7">
                  <c:v>13577.777777777777</c:v>
                </c:pt>
              </c:numCache>
            </c:numRef>
          </c:val>
          <c:extLst>
            <c:ext xmlns:c16="http://schemas.microsoft.com/office/drawing/2014/chart" uri="{C3380CC4-5D6E-409C-BE32-E72D297353CC}">
              <c16:uniqueId val="{00000000-D50B-4C79-8EE6-0B978F9A2B28}"/>
            </c:ext>
          </c:extLst>
        </c:ser>
        <c:dLbls>
          <c:showLegendKey val="0"/>
          <c:showVal val="0"/>
          <c:showCatName val="0"/>
          <c:showSerName val="0"/>
          <c:showPercent val="0"/>
          <c:showBubbleSize val="0"/>
        </c:dLbls>
        <c:gapWidth val="182"/>
        <c:axId val="148795584"/>
        <c:axId val="2023513584"/>
      </c:barChart>
      <c:catAx>
        <c:axId val="148795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513584"/>
        <c:crosses val="autoZero"/>
        <c:auto val="1"/>
        <c:lblAlgn val="ctr"/>
        <c:lblOffset val="100"/>
        <c:noMultiLvlLbl val="0"/>
      </c:catAx>
      <c:valAx>
        <c:axId val="202351358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795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[HR_Employee_Data_Project_1.xlsx]Pivot Analysis!PivotTable5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Performance:</a:t>
            </a:r>
            <a:r>
              <a:rPr lang="en-US" baseline="0"/>
              <a:t> Remote vs Non-Remote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Analysis'!$M$1:$M$2</c:f>
              <c:strCache>
                <c:ptCount val="1"/>
                <c:pt idx="0">
                  <c:v>FALSE</c:v>
                </c:pt>
              </c:strCache>
            </c:strRef>
          </c:tx>
          <c:spPr>
            <a:solidFill>
              <a:schemeClr val="accent1"/>
            </a:solidFill>
            <a:ln>
              <a:noFill/>
            </a:ln>
            <a:effectLst/>
          </c:spPr>
          <c:invertIfNegative val="0"/>
          <c:cat>
            <c:strRef>
              <c:f>'Pivot Analysis'!$L$3:$L$7</c:f>
              <c:strCache>
                <c:ptCount val="4"/>
                <c:pt idx="0">
                  <c:v>Average</c:v>
                </c:pt>
                <c:pt idx="1">
                  <c:v>Excellent</c:v>
                </c:pt>
                <c:pt idx="2">
                  <c:v>Good</c:v>
                </c:pt>
                <c:pt idx="3">
                  <c:v>Needs Improvement</c:v>
                </c:pt>
              </c:strCache>
            </c:strRef>
          </c:cat>
          <c:val>
            <c:numRef>
              <c:f>'Pivot Analysis'!$M$3:$M$7</c:f>
              <c:numCache>
                <c:formatCode>General</c:formatCode>
                <c:ptCount val="4"/>
                <c:pt idx="0">
                  <c:v>7</c:v>
                </c:pt>
                <c:pt idx="1">
                  <c:v>5</c:v>
                </c:pt>
                <c:pt idx="2">
                  <c:v>10</c:v>
                </c:pt>
                <c:pt idx="3">
                  <c:v>6</c:v>
                </c:pt>
              </c:numCache>
            </c:numRef>
          </c:val>
          <c:extLst>
            <c:ext xmlns:c16="http://schemas.microsoft.com/office/drawing/2014/chart" uri="{C3380CC4-5D6E-409C-BE32-E72D297353CC}">
              <c16:uniqueId val="{00000000-8151-4339-950E-8A80B229F29B}"/>
            </c:ext>
          </c:extLst>
        </c:ser>
        <c:ser>
          <c:idx val="1"/>
          <c:order val="1"/>
          <c:tx>
            <c:strRef>
              <c:f>'Pivot Analysis'!$N$1:$N$2</c:f>
              <c:strCache>
                <c:ptCount val="1"/>
                <c:pt idx="0">
                  <c:v>TRUE</c:v>
                </c:pt>
              </c:strCache>
            </c:strRef>
          </c:tx>
          <c:spPr>
            <a:solidFill>
              <a:schemeClr val="accent2"/>
            </a:solidFill>
            <a:ln>
              <a:noFill/>
            </a:ln>
            <a:effectLst/>
          </c:spPr>
          <c:invertIfNegative val="0"/>
          <c:cat>
            <c:strRef>
              <c:f>'Pivot Analysis'!$L$3:$L$7</c:f>
              <c:strCache>
                <c:ptCount val="4"/>
                <c:pt idx="0">
                  <c:v>Average</c:v>
                </c:pt>
                <c:pt idx="1">
                  <c:v>Excellent</c:v>
                </c:pt>
                <c:pt idx="2">
                  <c:v>Good</c:v>
                </c:pt>
                <c:pt idx="3">
                  <c:v>Needs Improvement</c:v>
                </c:pt>
              </c:strCache>
            </c:strRef>
          </c:cat>
          <c:val>
            <c:numRef>
              <c:f>'Pivot Analysis'!$N$3:$N$7</c:f>
              <c:numCache>
                <c:formatCode>General</c:formatCode>
                <c:ptCount val="4"/>
                <c:pt idx="0">
                  <c:v>14</c:v>
                </c:pt>
                <c:pt idx="1">
                  <c:v>6</c:v>
                </c:pt>
                <c:pt idx="2">
                  <c:v>14</c:v>
                </c:pt>
                <c:pt idx="3">
                  <c:v>6</c:v>
                </c:pt>
              </c:numCache>
            </c:numRef>
          </c:val>
          <c:extLst>
            <c:ext xmlns:c16="http://schemas.microsoft.com/office/drawing/2014/chart" uri="{C3380CC4-5D6E-409C-BE32-E72D297353CC}">
              <c16:uniqueId val="{00000004-8151-4339-950E-8A80B229F29B}"/>
            </c:ext>
          </c:extLst>
        </c:ser>
        <c:ser>
          <c:idx val="2"/>
          <c:order val="2"/>
          <c:tx>
            <c:strRef>
              <c:f>'Pivot Analysis'!$O$1:$O$2</c:f>
              <c:strCache>
                <c:ptCount val="1"/>
                <c:pt idx="0">
                  <c:v>(blank)</c:v>
                </c:pt>
              </c:strCache>
            </c:strRef>
          </c:tx>
          <c:spPr>
            <a:solidFill>
              <a:schemeClr val="accent3"/>
            </a:solidFill>
            <a:ln>
              <a:noFill/>
            </a:ln>
            <a:effectLst/>
          </c:spPr>
          <c:invertIfNegative val="0"/>
          <c:cat>
            <c:strRef>
              <c:f>'Pivot Analysis'!$L$3:$L$7</c:f>
              <c:strCache>
                <c:ptCount val="4"/>
                <c:pt idx="0">
                  <c:v>Average</c:v>
                </c:pt>
                <c:pt idx="1">
                  <c:v>Excellent</c:v>
                </c:pt>
                <c:pt idx="2">
                  <c:v>Good</c:v>
                </c:pt>
                <c:pt idx="3">
                  <c:v>Needs Improvement</c:v>
                </c:pt>
              </c:strCache>
            </c:strRef>
          </c:cat>
          <c:val>
            <c:numRef>
              <c:f>'Pivot Analysis'!$O$3:$O$7</c:f>
              <c:numCache>
                <c:formatCode>General</c:formatCode>
                <c:ptCount val="4"/>
                <c:pt idx="1">
                  <c:v>1</c:v>
                </c:pt>
              </c:numCache>
            </c:numRef>
          </c:val>
          <c:extLst>
            <c:ext xmlns:c16="http://schemas.microsoft.com/office/drawing/2014/chart" uri="{C3380CC4-5D6E-409C-BE32-E72D297353CC}">
              <c16:uniqueId val="{00000006-8151-4339-950E-8A80B229F29B}"/>
            </c:ext>
          </c:extLst>
        </c:ser>
        <c:dLbls>
          <c:showLegendKey val="0"/>
          <c:showVal val="0"/>
          <c:showCatName val="0"/>
          <c:showSerName val="0"/>
          <c:showPercent val="0"/>
          <c:showBubbleSize val="0"/>
        </c:dLbls>
        <c:gapWidth val="219"/>
        <c:overlap val="-27"/>
        <c:axId val="188686000"/>
        <c:axId val="1639546960"/>
      </c:barChart>
      <c:catAx>
        <c:axId val="188686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546960"/>
        <c:crosses val="autoZero"/>
        <c:auto val="1"/>
        <c:lblAlgn val="ctr"/>
        <c:lblOffset val="100"/>
        <c:noMultiLvlLbl val="0"/>
      </c:catAx>
      <c:valAx>
        <c:axId val="1639546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686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Employees Needing Attention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Analysis!$C$58</c:f>
              <c:strCache>
                <c:ptCount val="1"/>
                <c:pt idx="0">
                  <c:v>Needs Attention</c:v>
                </c:pt>
              </c:strCache>
            </c:strRef>
          </c:tx>
          <c:spPr>
            <a:solidFill>
              <a:schemeClr val="accent1"/>
            </a:solidFill>
            <a:ln>
              <a:noFill/>
            </a:ln>
            <a:effectLst/>
          </c:spPr>
          <c:invertIfNegative val="0"/>
          <c:cat>
            <c:strRef>
              <c:f>Analysis!$A$59:$A$66</c:f>
              <c:strCache>
                <c:ptCount val="8"/>
                <c:pt idx="0">
                  <c:v>Data Analytics</c:v>
                </c:pt>
                <c:pt idx="1">
                  <c:v>Finance</c:v>
                </c:pt>
                <c:pt idx="2">
                  <c:v>Cloud Tech</c:v>
                </c:pt>
                <c:pt idx="3">
                  <c:v>HR</c:v>
                </c:pt>
                <c:pt idx="4">
                  <c:v>IT Support</c:v>
                </c:pt>
                <c:pt idx="5">
                  <c:v>Marketing</c:v>
                </c:pt>
                <c:pt idx="6">
                  <c:v>Operations</c:v>
                </c:pt>
                <c:pt idx="7">
                  <c:v>Sales</c:v>
                </c:pt>
              </c:strCache>
            </c:strRef>
          </c:cat>
          <c:val>
            <c:numRef>
              <c:f>Analysis!$C$59:$C$66</c:f>
              <c:numCache>
                <c:formatCode>General</c:formatCode>
                <c:ptCount val="8"/>
                <c:pt idx="0">
                  <c:v>3</c:v>
                </c:pt>
                <c:pt idx="1">
                  <c:v>2</c:v>
                </c:pt>
                <c:pt idx="2">
                  <c:v>3</c:v>
                </c:pt>
                <c:pt idx="3">
                  <c:v>2</c:v>
                </c:pt>
                <c:pt idx="4">
                  <c:v>1</c:v>
                </c:pt>
                <c:pt idx="5">
                  <c:v>3</c:v>
                </c:pt>
                <c:pt idx="6">
                  <c:v>2</c:v>
                </c:pt>
                <c:pt idx="7">
                  <c:v>2</c:v>
                </c:pt>
              </c:numCache>
            </c:numRef>
          </c:val>
          <c:extLst>
            <c:ext xmlns:c16="http://schemas.microsoft.com/office/drawing/2014/chart" uri="{C3380CC4-5D6E-409C-BE32-E72D297353CC}">
              <c16:uniqueId val="{00000000-490D-4BB1-A3E9-A31DDBCC9E45}"/>
            </c:ext>
          </c:extLst>
        </c:ser>
        <c:dLbls>
          <c:showLegendKey val="0"/>
          <c:showVal val="0"/>
          <c:showCatName val="0"/>
          <c:showSerName val="0"/>
          <c:showPercent val="0"/>
          <c:showBubbleSize val="0"/>
        </c:dLbls>
        <c:gapWidth val="182"/>
        <c:axId val="603208752"/>
        <c:axId val="602295632"/>
      </c:barChart>
      <c:catAx>
        <c:axId val="603208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2295632"/>
        <c:crosses val="autoZero"/>
        <c:auto val="1"/>
        <c:lblAlgn val="ctr"/>
        <c:lblOffset val="100"/>
        <c:noMultiLvlLbl val="0"/>
      </c:catAx>
      <c:valAx>
        <c:axId val="6022956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32087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35984</xdr:rowOff>
    </xdr:from>
    <xdr:to>
      <xdr:col>4</xdr:col>
      <xdr:colOff>762000</xdr:colOff>
      <xdr:row>32</xdr:row>
      <xdr:rowOff>80433</xdr:rowOff>
    </xdr:to>
    <xdr:graphicFrame macro="">
      <xdr:nvGraphicFramePr>
        <xdr:cNvPr id="2" name="Chart 1">
          <a:extLst>
            <a:ext uri="{FF2B5EF4-FFF2-40B4-BE49-F238E27FC236}">
              <a16:creationId xmlns:a16="http://schemas.microsoft.com/office/drawing/2014/main" id="{CBBC65CB-61F7-758F-4327-5DD8AEB63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15352</xdr:colOff>
      <xdr:row>17</xdr:row>
      <xdr:rowOff>18245</xdr:rowOff>
    </xdr:from>
    <xdr:to>
      <xdr:col>9</xdr:col>
      <xdr:colOff>661830</xdr:colOff>
      <xdr:row>32</xdr:row>
      <xdr:rowOff>61652</xdr:rowOff>
    </xdr:to>
    <xdr:graphicFrame macro="">
      <xdr:nvGraphicFramePr>
        <xdr:cNvPr id="3" name="Chart 2">
          <a:extLst>
            <a:ext uri="{FF2B5EF4-FFF2-40B4-BE49-F238E27FC236}">
              <a16:creationId xmlns:a16="http://schemas.microsoft.com/office/drawing/2014/main" id="{5223325F-9172-1391-6104-77BAC8668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58581</xdr:colOff>
      <xdr:row>17</xdr:row>
      <xdr:rowOff>50592</xdr:rowOff>
    </xdr:from>
    <xdr:to>
      <xdr:col>15</xdr:col>
      <xdr:colOff>714748</xdr:colOff>
      <xdr:row>32</xdr:row>
      <xdr:rowOff>95041</xdr:rowOff>
    </xdr:to>
    <xdr:graphicFrame macro="">
      <xdr:nvGraphicFramePr>
        <xdr:cNvPr id="4" name="Chart 3">
          <a:extLst>
            <a:ext uri="{FF2B5EF4-FFF2-40B4-BE49-F238E27FC236}">
              <a16:creationId xmlns:a16="http://schemas.microsoft.com/office/drawing/2014/main" id="{044E3011-0938-CE76-4954-245A39E439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21</xdr:row>
      <xdr:rowOff>0</xdr:rowOff>
    </xdr:from>
    <xdr:to>
      <xdr:col>4</xdr:col>
      <xdr:colOff>171057</xdr:colOff>
      <xdr:row>36</xdr:row>
      <xdr:rowOff>32578</xdr:rowOff>
    </xdr:to>
    <xdr:graphicFrame macro="">
      <xdr:nvGraphicFramePr>
        <xdr:cNvPr id="2" name="Chart 1">
          <a:extLst>
            <a:ext uri="{FF2B5EF4-FFF2-40B4-BE49-F238E27FC236}">
              <a16:creationId xmlns:a16="http://schemas.microsoft.com/office/drawing/2014/main" id="{48EC896F-099B-436B-86A8-FE5834CF9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21</xdr:row>
      <xdr:rowOff>0</xdr:rowOff>
    </xdr:from>
    <xdr:to>
      <xdr:col>9</xdr:col>
      <xdr:colOff>263238</xdr:colOff>
      <xdr:row>36</xdr:row>
      <xdr:rowOff>27835</xdr:rowOff>
    </xdr:to>
    <xdr:graphicFrame macro="">
      <xdr:nvGraphicFramePr>
        <xdr:cNvPr id="3" name="Chart 2">
          <a:extLst>
            <a:ext uri="{FF2B5EF4-FFF2-40B4-BE49-F238E27FC236}">
              <a16:creationId xmlns:a16="http://schemas.microsoft.com/office/drawing/2014/main" id="{A58B2BD4-5F4F-4AE9-A5A1-B36E5BDEC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37</xdr:row>
      <xdr:rowOff>0</xdr:rowOff>
    </xdr:from>
    <xdr:to>
      <xdr:col>4</xdr:col>
      <xdr:colOff>183615</xdr:colOff>
      <xdr:row>52</xdr:row>
      <xdr:rowOff>32579</xdr:rowOff>
    </xdr:to>
    <xdr:graphicFrame macro="">
      <xdr:nvGraphicFramePr>
        <xdr:cNvPr id="4" name="Chart 3">
          <a:extLst>
            <a:ext uri="{FF2B5EF4-FFF2-40B4-BE49-F238E27FC236}">
              <a16:creationId xmlns:a16="http://schemas.microsoft.com/office/drawing/2014/main" id="{C607A9A5-93A1-4B2E-9F64-0B4934F4C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37</xdr:row>
      <xdr:rowOff>0</xdr:rowOff>
    </xdr:from>
    <xdr:to>
      <xdr:col>9</xdr:col>
      <xdr:colOff>272362</xdr:colOff>
      <xdr:row>52</xdr:row>
      <xdr:rowOff>103743</xdr:rowOff>
    </xdr:to>
    <xdr:graphicFrame macro="">
      <xdr:nvGraphicFramePr>
        <xdr:cNvPr id="5" name="Chart 4">
          <a:extLst>
            <a:ext uri="{FF2B5EF4-FFF2-40B4-BE49-F238E27FC236}">
              <a16:creationId xmlns:a16="http://schemas.microsoft.com/office/drawing/2014/main" id="{C2E1367D-C3C2-4C12-9C00-56CE4FA48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6</xdr:row>
      <xdr:rowOff>0</xdr:rowOff>
    </xdr:from>
    <xdr:to>
      <xdr:col>1</xdr:col>
      <xdr:colOff>616633</xdr:colOff>
      <xdr:row>19</xdr:row>
      <xdr:rowOff>159694</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5BA6D0A8-93F9-4DC7-BCF8-FC8B0E3833B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0" y="1424878"/>
              <a:ext cx="1821175" cy="2374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1390877</xdr:colOff>
      <xdr:row>5</xdr:row>
      <xdr:rowOff>171995</xdr:rowOff>
    </xdr:from>
    <xdr:to>
      <xdr:col>8</xdr:col>
      <xdr:colOff>1156816</xdr:colOff>
      <xdr:row>19</xdr:row>
      <xdr:rowOff>152338</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3B418668-CF0E-40C0-85F3-A7A6B66484CF}"/>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8483707" y="1274259"/>
              <a:ext cx="1826694" cy="249638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157086</xdr:colOff>
      <xdr:row>6</xdr:row>
      <xdr:rowOff>52184</xdr:rowOff>
    </xdr:from>
    <xdr:to>
      <xdr:col>5</xdr:col>
      <xdr:colOff>549482</xdr:colOff>
      <xdr:row>19</xdr:row>
      <xdr:rowOff>174054</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224E11A3-AF23-4F7C-82D7-0D0832F71EE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422369" y="1334165"/>
              <a:ext cx="1818151" cy="2458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maiya Omar" refreshedDate="46263.048509722219" createdVersion="8" refreshedVersion="8" minRefreshableVersion="3" recordCount="69" xr:uid="{AC77255A-AAEA-48FC-ABFC-48E39814495C}">
  <cacheSource type="worksheet">
    <worksheetSource name="CleanEmployeeData"/>
  </cacheSource>
  <cacheFields count="15">
    <cacheField name="Employee_ID" numFmtId="0">
      <sharedItems/>
    </cacheField>
    <cacheField name="First_Name" numFmtId="0">
      <sharedItems/>
    </cacheField>
    <cacheField name="Last_Name" numFmtId="0">
      <sharedItems/>
    </cacheField>
    <cacheField name="Age" numFmtId="0">
      <sharedItems containsString="0" containsBlank="1" containsNumber="1" containsInteger="1" minValue="22" maxValue="59"/>
    </cacheField>
    <cacheField name="Department" numFmtId="0">
      <sharedItems count="8">
        <s v="Operations"/>
        <s v="HR"/>
        <s v="Finance"/>
        <s v="Marketing"/>
        <s v="Sales"/>
        <s v="Data Analytics"/>
        <s v="IT Support"/>
        <s v="Cloud Tech"/>
      </sharedItems>
    </cacheField>
    <cacheField name="Region" numFmtId="0">
      <sharedItems count="6">
        <s v="Makkah"/>
        <s v="Tabuk"/>
        <s v="Jeddah"/>
        <s v="Madinah"/>
        <s v="Riyadh"/>
        <s v="Dammam"/>
      </sharedItems>
    </cacheField>
    <cacheField name="Status" numFmtId="0">
      <sharedItems count="3">
        <s v="Active"/>
        <s v="Inactive"/>
        <s v="Pending"/>
      </sharedItems>
    </cacheField>
    <cacheField name="Join_Date" numFmtId="14">
      <sharedItems containsNonDate="0" containsDate="1" containsString="0" containsBlank="1" minDate="2018-01-15T00:00:00" maxDate="2025-12-28T00:00:00"/>
    </cacheField>
    <cacheField name="Salary" numFmtId="0">
      <sharedItems containsString="0" containsBlank="1" containsNumber="1" containsInteger="1" minValue="5000" maxValue="47330"/>
    </cacheField>
    <cacheField name="Email" numFmtId="0">
      <sharedItems/>
    </cacheField>
    <cacheField name="Phone" numFmtId="0">
      <sharedItems/>
    </cacheField>
    <cacheField name="Performance_Score" numFmtId="0">
      <sharedItems count="4">
        <s v="Needs Improvement"/>
        <s v="Good"/>
        <s v="Excellent"/>
        <s v="Average"/>
      </sharedItems>
    </cacheField>
    <cacheField name="Remote_Work" numFmtId="0">
      <sharedItems containsBlank="1" count="3">
        <b v="0"/>
        <b v="1"/>
        <m/>
      </sharedItems>
    </cacheField>
    <cacheField name="HR_Flag" numFmtId="0">
      <sharedItems/>
    </cacheField>
    <cacheField name="Priority_Review" numFmtId="0">
      <sharedItems/>
    </cacheField>
  </cacheFields>
  <extLst>
    <ext xmlns:x14="http://schemas.microsoft.com/office/spreadsheetml/2009/9/main" uri="{725AE2AE-9491-48be-B2B4-4EB974FC3084}">
      <x14:pivotCacheDefinition pivotCacheId="19441761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s v="EMP1001"/>
    <s v="Noor"/>
    <s v="Rashid"/>
    <n v="26"/>
    <x v="0"/>
    <x v="0"/>
    <x v="0"/>
    <d v="2022-05-07T00:00:00"/>
    <n v="13700"/>
    <s v="noor.rashid1@example.com"/>
    <s v="056-287-5060"/>
    <x v="0"/>
    <x v="0"/>
    <s v="Needs Attention"/>
    <s v="Priority Review"/>
  </r>
  <r>
    <s v="EMP1002"/>
    <s v="Yara"/>
    <s v="Hassan"/>
    <n v="48"/>
    <x v="1"/>
    <x v="1"/>
    <x v="0"/>
    <d v="2019-10-27T00:00:00"/>
    <n v="13100"/>
    <s v="yara.hassan2@example.com"/>
    <s v="050-965-8839"/>
    <x v="1"/>
    <x v="0"/>
    <s v="Normal"/>
    <s v="No"/>
  </r>
  <r>
    <s v="EMP1003"/>
    <s v="Adel"/>
    <s v="Malik"/>
    <n v="24"/>
    <x v="2"/>
    <x v="2"/>
    <x v="0"/>
    <d v="2020-02-13T00:00:00"/>
    <n v="8000"/>
    <s v="adel.malik3@example.com"/>
    <s v="054-653-1834"/>
    <x v="2"/>
    <x v="1"/>
    <s v="Normal"/>
    <s v="No"/>
  </r>
  <r>
    <s v="EMP1004"/>
    <s v="Salma"/>
    <s v="Ahmed"/>
    <n v="26"/>
    <x v="0"/>
    <x v="3"/>
    <x v="1"/>
    <d v="2023-10-19T00:00:00"/>
    <n v="16100"/>
    <s v="salma.ahmed4@example.com"/>
    <s v="055-112-6913"/>
    <x v="2"/>
    <x v="0"/>
    <s v="Normal"/>
    <s v="No"/>
  </r>
  <r>
    <s v="EMP1005"/>
    <s v="Khalid"/>
    <s v="Rashid"/>
    <n v="32"/>
    <x v="3"/>
    <x v="1"/>
    <x v="0"/>
    <d v="2023-02-09T00:00:00"/>
    <n v="6500"/>
    <s v="khalid.rashid5@example.com"/>
    <s v="055-446-1937"/>
    <x v="1"/>
    <x v="1"/>
    <s v="Normal"/>
    <s v="No"/>
  </r>
  <r>
    <s v="EMP1007"/>
    <s v="Amina"/>
    <s v="Latif"/>
    <n v="40"/>
    <x v="2"/>
    <x v="4"/>
    <x v="0"/>
    <m/>
    <n v="14700"/>
    <s v="amina.latif7@example.com"/>
    <s v="057-854-1056"/>
    <x v="1"/>
    <x v="0"/>
    <s v="Normal"/>
    <s v="No"/>
  </r>
  <r>
    <s v="EMP1008"/>
    <s v="Majed"/>
    <s v="Rahman"/>
    <n v="43"/>
    <x v="4"/>
    <x v="4"/>
    <x v="0"/>
    <m/>
    <m/>
    <s v="majed.rahman8@example.com"/>
    <s v="052-164-2283"/>
    <x v="1"/>
    <x v="1"/>
    <s v="Normal"/>
    <s v="No"/>
  </r>
  <r>
    <s v="EMP1009"/>
    <s v="Salma"/>
    <s v="Hadi"/>
    <n v="39"/>
    <x v="1"/>
    <x v="1"/>
    <x v="0"/>
    <d v="2025-02-08T00:00:00"/>
    <n v="12100"/>
    <s v="salma.hadi9@example.com"/>
    <s v="058-578-4503"/>
    <x v="3"/>
    <x v="0"/>
    <s v="Normal"/>
    <s v="No"/>
  </r>
  <r>
    <s v="EMP1010"/>
    <s v="Rami"/>
    <s v="Saeed"/>
    <n v="43"/>
    <x v="1"/>
    <x v="2"/>
    <x v="0"/>
    <m/>
    <n v="6200"/>
    <s v="rami.saeed10@example.com"/>
    <s v="053-544-6208"/>
    <x v="1"/>
    <x v="1"/>
    <s v="Normal"/>
    <s v="No"/>
  </r>
  <r>
    <s v="EMP1011"/>
    <s v="Yusuf"/>
    <s v="Qureshi"/>
    <n v="56"/>
    <x v="1"/>
    <x v="2"/>
    <x v="2"/>
    <d v="2019-07-06T00:00:00"/>
    <n v="5400"/>
    <s v="yusuf.qureshi11@example.com"/>
    <s v="059-711-9537"/>
    <x v="1"/>
    <x v="0"/>
    <s v="Needs Attention"/>
    <s v="No"/>
  </r>
  <r>
    <s v="EMP1012"/>
    <s v="Adel"/>
    <s v="Ali"/>
    <m/>
    <x v="5"/>
    <x v="5"/>
    <x v="0"/>
    <m/>
    <n v="17000"/>
    <s v="adel.ali12@example.com"/>
    <s v="053-501-4125"/>
    <x v="2"/>
    <x v="0"/>
    <s v="Normal"/>
    <s v="No"/>
  </r>
  <r>
    <s v="EMP1013"/>
    <s v="Faisal"/>
    <s v="Jaber"/>
    <n v="52"/>
    <x v="6"/>
    <x v="4"/>
    <x v="0"/>
    <m/>
    <n v="6000"/>
    <s v="faisal.jaber13@example.com"/>
    <s v="059-883-1785"/>
    <x v="3"/>
    <x v="1"/>
    <s v="Normal"/>
    <s v="No"/>
  </r>
  <r>
    <s v="EMP1014"/>
    <s v="Omar"/>
    <s v="Hadi"/>
    <n v="28"/>
    <x v="7"/>
    <x v="5"/>
    <x v="0"/>
    <d v="2025-09-03T00:00:00"/>
    <n v="16600"/>
    <s v="omar.hadi14@example.com"/>
    <s v="055-835-9673"/>
    <x v="0"/>
    <x v="0"/>
    <s v="Needs Attention"/>
    <s v="Priority Review"/>
  </r>
  <r>
    <s v="EMP1015"/>
    <s v="Yara"/>
    <s v="Farooq"/>
    <n v="52"/>
    <x v="0"/>
    <x v="3"/>
    <x v="0"/>
    <d v="2019-08-12T00:00:00"/>
    <n v="9800"/>
    <s v="yara.farooq15@example.com"/>
    <s v="058-851-4932"/>
    <x v="1"/>
    <x v="0"/>
    <s v="Normal"/>
    <s v="No"/>
  </r>
  <r>
    <s v="EMP1016"/>
    <s v="Yusuf"/>
    <s v="Saeed"/>
    <n v="53"/>
    <x v="0"/>
    <x v="3"/>
    <x v="0"/>
    <d v="2022-11-06T00:00:00"/>
    <n v="8800"/>
    <s v="yusuf.saeed16@example.com"/>
    <s v="051-639-8562"/>
    <x v="1"/>
    <x v="1"/>
    <s v="Normal"/>
    <s v="No"/>
  </r>
  <r>
    <s v="EMP1017"/>
    <s v="Salma"/>
    <s v="Malik"/>
    <n v="37"/>
    <x v="0"/>
    <x v="0"/>
    <x v="1"/>
    <d v="2022-04-02T00:00:00"/>
    <n v="18700"/>
    <s v="salma.malik17@example.com"/>
    <s v="056-734-5239"/>
    <x v="1"/>
    <x v="1"/>
    <s v="Normal"/>
    <s v="No"/>
  </r>
  <r>
    <s v="EMP1018"/>
    <s v="Yara"/>
    <s v="Saleh"/>
    <n v="27"/>
    <x v="3"/>
    <x v="0"/>
    <x v="2"/>
    <d v="2018-08-24T00:00:00"/>
    <n v="8000"/>
    <s v="yara.saleh18@example.com"/>
    <s v="051-838-1380"/>
    <x v="3"/>
    <x v="1"/>
    <s v="Needs Attention"/>
    <s v="No"/>
  </r>
  <r>
    <s v="EMP1019"/>
    <s v="Yara"/>
    <s v="Kamal"/>
    <n v="49"/>
    <x v="2"/>
    <x v="0"/>
    <x v="0"/>
    <d v="2022-08-11T00:00:00"/>
    <n v="11400"/>
    <s v="yara.kamal19@example.com"/>
    <s v="051-227-3923"/>
    <x v="3"/>
    <x v="1"/>
    <s v="Normal"/>
    <s v="No"/>
  </r>
  <r>
    <s v="EMP1020"/>
    <s v="Khalid"/>
    <s v="Rahman"/>
    <n v="45"/>
    <x v="7"/>
    <x v="4"/>
    <x v="0"/>
    <d v="2022-08-27T00:00:00"/>
    <n v="12600"/>
    <s v="khalid.rahman20@example.com"/>
    <s v="057-445-5599"/>
    <x v="3"/>
    <x v="1"/>
    <s v="Normal"/>
    <s v="No"/>
  </r>
  <r>
    <s v="EMP1021"/>
    <s v="Lina"/>
    <s v="Farooq"/>
    <n v="54"/>
    <x v="5"/>
    <x v="0"/>
    <x v="0"/>
    <d v="2022-04-25T00:00:00"/>
    <n v="15200"/>
    <s v="lina.farooq21@example.com"/>
    <s v="056-501-7308"/>
    <x v="0"/>
    <x v="0"/>
    <s v="Needs Attention"/>
    <s v="Priority Review"/>
  </r>
  <r>
    <s v="EMP1022"/>
    <s v="Zaid"/>
    <s v="Saleh"/>
    <n v="34"/>
    <x v="7"/>
    <x v="5"/>
    <x v="0"/>
    <d v="2019-02-05T00:00:00"/>
    <n v="17200"/>
    <s v="zaid.saleh22@example.com"/>
    <s v="0551234567"/>
    <x v="1"/>
    <x v="1"/>
    <s v="Normal"/>
    <s v="No"/>
  </r>
  <r>
    <s v="EMP1023"/>
    <s v="Yusuf"/>
    <s v="Hassan"/>
    <n v="55"/>
    <x v="1"/>
    <x v="4"/>
    <x v="0"/>
    <d v="2025-03-14T00:00:00"/>
    <n v="8900"/>
    <s v="yusuf.hassan23@example.com"/>
    <s v="054-617-8986"/>
    <x v="0"/>
    <x v="1"/>
    <s v="Needs Attention"/>
    <s v="Priority Review"/>
  </r>
  <r>
    <s v="EMP1024"/>
    <s v="Hassan"/>
    <s v="Rashid"/>
    <n v="56"/>
    <x v="4"/>
    <x v="0"/>
    <x v="0"/>
    <d v="2019-08-18T00:00:00"/>
    <n v="12500"/>
    <s v="hassan.rashid24@example.com"/>
    <s v="058-350-1027"/>
    <x v="3"/>
    <x v="1"/>
    <s v="Normal"/>
    <s v="No"/>
  </r>
  <r>
    <s v="EMP1025"/>
    <s v="Sami"/>
    <s v="Hadi"/>
    <n v="54"/>
    <x v="4"/>
    <x v="4"/>
    <x v="0"/>
    <m/>
    <n v="17900"/>
    <s v="sami.hadi25@example.com"/>
    <s v="056-981-1709"/>
    <x v="1"/>
    <x v="0"/>
    <s v="Normal"/>
    <s v="No"/>
  </r>
  <r>
    <s v="EMP1026"/>
    <s v="Noura"/>
    <s v="Hadi"/>
    <n v="34"/>
    <x v="1"/>
    <x v="3"/>
    <x v="1"/>
    <d v="2020-03-17T00:00:00"/>
    <n v="15400"/>
    <s v="noura.hadi26@example.com"/>
    <s v="057-297-2333"/>
    <x v="3"/>
    <x v="0"/>
    <s v="Normal"/>
    <s v="No"/>
  </r>
  <r>
    <s v="EMP1027"/>
    <s v="Khalid"/>
    <s v="Omar"/>
    <n v="37"/>
    <x v="0"/>
    <x v="3"/>
    <x v="0"/>
    <d v="2025-12-27T00:00:00"/>
    <n v="14800"/>
    <s v="khalid.omar27@example.com"/>
    <s v="050-598-7226"/>
    <x v="1"/>
    <x v="1"/>
    <s v="Normal"/>
    <s v="No"/>
  </r>
  <r>
    <s v="EMP1028"/>
    <s v="Yusuf"/>
    <s v="Saeed"/>
    <n v="25"/>
    <x v="2"/>
    <x v="4"/>
    <x v="0"/>
    <m/>
    <n v="14600"/>
    <s v="yusuf.saeed28@example.com"/>
    <s v="058-675-8809"/>
    <x v="0"/>
    <x v="1"/>
    <s v="Needs Attention"/>
    <s v="Priority Review"/>
  </r>
  <r>
    <s v="EMP1029"/>
    <s v="Zaid"/>
    <s v="Ahmed"/>
    <n v="38"/>
    <x v="4"/>
    <x v="3"/>
    <x v="1"/>
    <d v="2022-02-23T00:00:00"/>
    <n v="5100"/>
    <s v="zaid.ahmed29@example.com"/>
    <s v="058-133-9082"/>
    <x v="0"/>
    <x v="1"/>
    <s v="Needs Attention"/>
    <s v="No"/>
  </r>
  <r>
    <s v="EMP1030"/>
    <s v="Bilal"/>
    <s v="Hassan"/>
    <n v="59"/>
    <x v="5"/>
    <x v="0"/>
    <x v="1"/>
    <d v="2022-03-06T00:00:00"/>
    <m/>
    <s v="bilal.hassan30@example.com"/>
    <s v="057-791-9081"/>
    <x v="3"/>
    <x v="0"/>
    <s v="Normal"/>
    <s v="No"/>
  </r>
  <r>
    <s v="EMP1031"/>
    <s v="Rami"/>
    <s v="Hadi"/>
    <n v="52"/>
    <x v="1"/>
    <x v="3"/>
    <x v="0"/>
    <m/>
    <n v="5300"/>
    <s v="rami.hadi31@example.com"/>
    <s v="059-953-7162"/>
    <x v="1"/>
    <x v="1"/>
    <s v="Normal"/>
    <s v="No"/>
  </r>
  <r>
    <s v="EMP1032"/>
    <s v="Rami"/>
    <s v="Jaber"/>
    <n v="53"/>
    <x v="6"/>
    <x v="2"/>
    <x v="1"/>
    <d v="2022-10-23T00:00:00"/>
    <n v="6700"/>
    <s v="rami.jaber32@example.com"/>
    <s v="055-314-4561"/>
    <x v="1"/>
    <x v="1"/>
    <s v="Normal"/>
    <s v="No"/>
  </r>
  <r>
    <s v="EMP1033"/>
    <s v="Bilal"/>
    <s v="Ali"/>
    <n v="53"/>
    <x v="1"/>
    <x v="4"/>
    <x v="0"/>
    <d v="2021-01-24T00:00:00"/>
    <n v="7800"/>
    <s v="bilal.ali33@example.com"/>
    <s v="051-602-7917"/>
    <x v="2"/>
    <x v="1"/>
    <s v="Normal"/>
    <s v="No"/>
  </r>
  <r>
    <s v="EMP1034"/>
    <s v="Faisal"/>
    <s v="Aziz"/>
    <n v="50"/>
    <x v="1"/>
    <x v="1"/>
    <x v="0"/>
    <d v="2023-07-17T00:00:00"/>
    <n v="7200"/>
    <s v="faisal.aziz34@example.com"/>
    <s v="054-795-7388"/>
    <x v="2"/>
    <x v="0"/>
    <s v="Normal"/>
    <s v="No"/>
  </r>
  <r>
    <s v="EMP1035"/>
    <s v="Sami"/>
    <s v="Omar"/>
    <n v="28"/>
    <x v="6"/>
    <x v="4"/>
    <x v="0"/>
    <m/>
    <n v="16000"/>
    <s v="sami.omar35@example.com"/>
    <s v="057-298-3787"/>
    <x v="2"/>
    <x v="1"/>
    <s v="Normal"/>
    <s v="No"/>
  </r>
  <r>
    <s v="EMP1036"/>
    <s v="Amina"/>
    <s v="Ahmed"/>
    <n v="34"/>
    <x v="6"/>
    <x v="4"/>
    <x v="0"/>
    <m/>
    <n v="10700"/>
    <s v="amina.ahmed36@example.com"/>
    <s v="052-178-2550"/>
    <x v="1"/>
    <x v="1"/>
    <s v="Normal"/>
    <s v="No"/>
  </r>
  <r>
    <s v="EMP1037"/>
    <s v="Reem"/>
    <s v="Omar"/>
    <n v="26"/>
    <x v="7"/>
    <x v="1"/>
    <x v="0"/>
    <d v="2022-10-02T00:00:00"/>
    <n v="18000"/>
    <s v="reem.omar37@example.com"/>
    <s v="052-332-1612"/>
    <x v="1"/>
    <x v="1"/>
    <s v="Normal"/>
    <s v="No"/>
  </r>
  <r>
    <s v="EMP1038"/>
    <s v="Dina"/>
    <s v="Ali"/>
    <m/>
    <x v="7"/>
    <x v="3"/>
    <x v="1"/>
    <d v="2023-11-10T00:00:00"/>
    <n v="14900"/>
    <s v="dina.ali38@example.com"/>
    <s v="056-374-7622"/>
    <x v="3"/>
    <x v="1"/>
    <s v="Normal"/>
    <s v="No"/>
  </r>
  <r>
    <s v="EMP1039"/>
    <s v="Huda"/>
    <s v="Hadi"/>
    <n v="37"/>
    <x v="7"/>
    <x v="2"/>
    <x v="0"/>
    <d v="2018-01-15T00:00:00"/>
    <n v="16700"/>
    <s v="huda.hadi39@example.com"/>
    <s v="052-864-2084"/>
    <x v="0"/>
    <x v="0"/>
    <s v="Needs Attention"/>
    <s v="Priority Review"/>
  </r>
  <r>
    <s v="EMP1040"/>
    <s v="Karim"/>
    <s v="Rahman"/>
    <n v="55"/>
    <x v="5"/>
    <x v="2"/>
    <x v="0"/>
    <d v="2025-05-27T00:00:00"/>
    <n v="15400"/>
    <s v="karim.rahman40@example.com"/>
    <s v="053-763-9531"/>
    <x v="3"/>
    <x v="1"/>
    <s v="Normal"/>
    <s v="No"/>
  </r>
  <r>
    <s v="EMP1041"/>
    <s v="Salma"/>
    <s v="Malik"/>
    <n v="36"/>
    <x v="5"/>
    <x v="2"/>
    <x v="0"/>
    <m/>
    <n v="18700"/>
    <s v="salma.malik41@example.com"/>
    <s v="051-545-5094"/>
    <x v="0"/>
    <x v="1"/>
    <s v="Needs Attention"/>
    <s v="Priority Review"/>
  </r>
  <r>
    <s v="EMP1042"/>
    <s v="Tariq"/>
    <s v="Rashid"/>
    <n v="57"/>
    <x v="0"/>
    <x v="4"/>
    <x v="0"/>
    <d v="2020-01-01T00:00:00"/>
    <n v="14100"/>
    <s v="tariq.rashid42@example.com"/>
    <s v="053-403-9495"/>
    <x v="1"/>
    <x v="0"/>
    <s v="Normal"/>
    <s v="No"/>
  </r>
  <r>
    <s v="EMP1043"/>
    <s v="Mariam"/>
    <s v="Khan"/>
    <n v="51"/>
    <x v="5"/>
    <x v="4"/>
    <x v="0"/>
    <m/>
    <n v="8400"/>
    <s v="mariam.khan43@example.com"/>
    <s v="056-342-8536"/>
    <x v="2"/>
    <x v="1"/>
    <s v="Normal"/>
    <s v="No"/>
  </r>
  <r>
    <s v="EMP1045"/>
    <s v="Adel"/>
    <s v="Malik"/>
    <n v="28"/>
    <x v="3"/>
    <x v="0"/>
    <x v="0"/>
    <d v="2021-06-10T00:00:00"/>
    <n v="5000"/>
    <s v="adel.malik45@example.com"/>
    <s v="055-592-2982"/>
    <x v="1"/>
    <x v="0"/>
    <s v="Normal"/>
    <s v="No"/>
  </r>
  <r>
    <s v="EMP1046"/>
    <s v="Ibrahim"/>
    <s v="Hadi"/>
    <n v="55"/>
    <x v="4"/>
    <x v="3"/>
    <x v="1"/>
    <d v="2021-03-05T00:00:00"/>
    <n v="18200"/>
    <s v="ibrahim.hadi46@example.com"/>
    <s v="056-314-5056"/>
    <x v="3"/>
    <x v="1"/>
    <s v="Normal"/>
    <s v="No"/>
  </r>
  <r>
    <s v="EMP1047"/>
    <s v="Noor"/>
    <s v="Rashid"/>
    <n v="35"/>
    <x v="0"/>
    <x v="3"/>
    <x v="2"/>
    <d v="2021-11-03T00:00:00"/>
    <n v="6000"/>
    <s v="noor.rashid47@example.com"/>
    <s v="053-590-2282"/>
    <x v="0"/>
    <x v="0"/>
    <s v="Needs Attention"/>
    <s v="No"/>
  </r>
  <r>
    <s v="EMP1048"/>
    <s v="Reem"/>
    <s v="Aziz"/>
    <n v="58"/>
    <x v="4"/>
    <x v="2"/>
    <x v="0"/>
    <d v="2023-02-24T00:00:00"/>
    <n v="17900"/>
    <s v="reem.aziz48@example.com"/>
    <s v="056-690-4229"/>
    <x v="1"/>
    <x v="0"/>
    <s v="Normal"/>
    <s v="No"/>
  </r>
  <r>
    <s v="EMP1049"/>
    <s v="Mariam"/>
    <s v="Malik"/>
    <n v="44"/>
    <x v="7"/>
    <x v="0"/>
    <x v="0"/>
    <d v="2023-08-06T00:00:00"/>
    <n v="14600"/>
    <s v="mariam.malik49@example.com"/>
    <s v="+966 54 555 0182"/>
    <x v="2"/>
    <x v="0"/>
    <s v="Normal"/>
    <s v="No"/>
  </r>
  <r>
    <s v="EMP1050"/>
    <s v="Hassan"/>
    <s v="Aziz"/>
    <n v="44"/>
    <x v="2"/>
    <x v="2"/>
    <x v="0"/>
    <d v="2024-01-03T00:00:00"/>
    <n v="7600"/>
    <s v="hassan.aziz50@example.com"/>
    <s v="054-107-8470"/>
    <x v="3"/>
    <x v="1"/>
    <s v="Normal"/>
    <s v="No"/>
  </r>
  <r>
    <s v="EMP1051"/>
    <s v="Bilal"/>
    <s v="Hassan"/>
    <n v="30"/>
    <x v="5"/>
    <x v="2"/>
    <x v="0"/>
    <d v="2018-03-27T00:00:00"/>
    <n v="18200"/>
    <s v="bilal.hassan51@example.com"/>
    <s v="053-612-1566"/>
    <x v="0"/>
    <x v="1"/>
    <s v="Needs Attention"/>
    <s v="Priority Review"/>
  </r>
  <r>
    <s v="EMP1052"/>
    <s v="Faisal"/>
    <s v="Aziz"/>
    <n v="22"/>
    <x v="3"/>
    <x v="0"/>
    <x v="1"/>
    <d v="2021-09-24T00:00:00"/>
    <n v="7200"/>
    <s v="faisal.aziz52@example.com"/>
    <s v="056-896-1230"/>
    <x v="3"/>
    <x v="0"/>
    <s v="Normal"/>
    <s v="No"/>
  </r>
  <r>
    <s v="EMP1053"/>
    <s v="Faisal"/>
    <s v="Nasser"/>
    <n v="31"/>
    <x v="6"/>
    <x v="2"/>
    <x v="0"/>
    <d v="2025-09-08T00:00:00"/>
    <n v="6300"/>
    <s v="faisal.nasser53@example.com"/>
    <s v="055-987-9128"/>
    <x v="3"/>
    <x v="1"/>
    <s v="Normal"/>
    <s v="No"/>
  </r>
  <r>
    <s v="EMP1054"/>
    <s v="Rania"/>
    <s v="Kamal"/>
    <n v="35"/>
    <x v="6"/>
    <x v="1"/>
    <x v="1"/>
    <d v="2018-10-08T00:00:00"/>
    <n v="10800"/>
    <s v="rania.kamal54@example.com"/>
    <s v="050-908-3702"/>
    <x v="0"/>
    <x v="0"/>
    <s v="Needs Attention"/>
    <s v="No"/>
  </r>
  <r>
    <s v="EMP1055"/>
    <s v="Sara"/>
    <s v="Omar"/>
    <n v="26"/>
    <x v="2"/>
    <x v="2"/>
    <x v="2"/>
    <d v="2022-02-08T00:00:00"/>
    <n v="12500"/>
    <s v="sara.omar55@example.com"/>
    <s v="050-288-4626"/>
    <x v="1"/>
    <x v="0"/>
    <s v="Needs Attention"/>
    <s v="No"/>
  </r>
  <r>
    <s v="EMP1056"/>
    <s v="Rami"/>
    <s v="Latif"/>
    <n v="28"/>
    <x v="4"/>
    <x v="5"/>
    <x v="2"/>
    <d v="2020-11-05T00:00:00"/>
    <m/>
    <s v="rami.latif56@example.com"/>
    <s v="058-105-4821"/>
    <x v="3"/>
    <x v="1"/>
    <s v="Needs Attention"/>
    <s v="No"/>
  </r>
  <r>
    <s v="EMP1057"/>
    <s v="Rania"/>
    <s v="Hamdan"/>
    <n v="53"/>
    <x v="3"/>
    <x v="4"/>
    <x v="2"/>
    <d v="2020-03-02T00:00:00"/>
    <n v="5900"/>
    <s v="rania.hamdan57@example.com"/>
    <s v="058-909-2647"/>
    <x v="3"/>
    <x v="1"/>
    <s v="Needs Attention"/>
    <s v="No"/>
  </r>
  <r>
    <s v="EMP1058"/>
    <s v="Layla"/>
    <s v="Jaber"/>
    <n v="47"/>
    <x v="7"/>
    <x v="2"/>
    <x v="0"/>
    <d v="2019-05-27T00:00:00"/>
    <n v="13800"/>
    <s v="layla.jaber58@example.com"/>
    <s v="059-269-7020"/>
    <x v="3"/>
    <x v="1"/>
    <s v="Normal"/>
    <s v="No"/>
  </r>
  <r>
    <s v="EMP1059"/>
    <s v="Bilal"/>
    <s v="Aziz"/>
    <n v="50"/>
    <x v="7"/>
    <x v="1"/>
    <x v="0"/>
    <d v="2020-10-09T00:00:00"/>
    <n v="15600"/>
    <s v="bilal.aziz59@example.com"/>
    <s v="053-349-8231"/>
    <x v="0"/>
    <x v="1"/>
    <s v="Needs Attention"/>
    <s v="Priority Review"/>
  </r>
  <r>
    <s v="EMP1060"/>
    <s v="Zaid"/>
    <s v="Saleh"/>
    <n v="35"/>
    <x v="4"/>
    <x v="5"/>
    <x v="1"/>
    <d v="2023-07-12T00:00:00"/>
    <n v="16900"/>
    <s v="zaid.saleh60@example.com"/>
    <s v="051-576-6061"/>
    <x v="3"/>
    <x v="1"/>
    <s v="Normal"/>
    <s v="No"/>
  </r>
  <r>
    <s v="EMP1061"/>
    <s v="Farah"/>
    <s v="Rashid"/>
    <n v="45"/>
    <x v="3"/>
    <x v="5"/>
    <x v="1"/>
    <d v="2018-02-11T00:00:00"/>
    <n v="13100"/>
    <s v="farah.rashid61@example.com"/>
    <s v="050-169-8290"/>
    <x v="2"/>
    <x v="1"/>
    <s v="Normal"/>
    <s v="No"/>
  </r>
  <r>
    <s v="EMP1062"/>
    <s v="Noor"/>
    <s v="Rahman"/>
    <n v="35"/>
    <x v="3"/>
    <x v="0"/>
    <x v="0"/>
    <d v="2019-01-09T00:00:00"/>
    <n v="14800"/>
    <s v="noor.rahman62@example.com"/>
    <s v="054-990-7052"/>
    <x v="2"/>
    <x v="2"/>
    <s v="Normal"/>
    <s v="No"/>
  </r>
  <r>
    <s v="EMP1063"/>
    <s v="Sara"/>
    <s v="Kamal"/>
    <n v="42"/>
    <x v="4"/>
    <x v="2"/>
    <x v="0"/>
    <d v="2023-05-28T00:00:00"/>
    <n v="5600"/>
    <s v="sara.kamal63@example.com"/>
    <s v="056-641-7494"/>
    <x v="3"/>
    <x v="0"/>
    <s v="Normal"/>
    <s v="No"/>
  </r>
  <r>
    <s v="EMP1064"/>
    <s v="Ibrahim"/>
    <s v="Qureshi"/>
    <n v="32"/>
    <x v="5"/>
    <x v="2"/>
    <x v="1"/>
    <m/>
    <n v="9900"/>
    <s v="ibrahim.qureshi64@example.com"/>
    <s v="051-621-3868"/>
    <x v="1"/>
    <x v="1"/>
    <s v="Normal"/>
    <s v="No"/>
  </r>
  <r>
    <s v="EMP1065"/>
    <s v="Mariam"/>
    <s v="Hadi"/>
    <n v="51"/>
    <x v="0"/>
    <x v="4"/>
    <x v="1"/>
    <m/>
    <n v="15600"/>
    <s v="mariam.hadi65@example.com"/>
    <s v="055-444-4031"/>
    <x v="2"/>
    <x v="1"/>
    <s v="Normal"/>
    <s v="No"/>
  </r>
  <r>
    <s v="EMP1066"/>
    <s v="Dina"/>
    <s v="Mansour"/>
    <n v="30"/>
    <x v="4"/>
    <x v="1"/>
    <x v="1"/>
    <d v="2024-03-06T00:00:00"/>
    <n v="17000"/>
    <s v="dina.mansour66@example.com"/>
    <s v="052-288-3208"/>
    <x v="1"/>
    <x v="1"/>
    <s v="Normal"/>
    <s v="No"/>
  </r>
  <r>
    <s v="EMP1067"/>
    <s v="Tariq"/>
    <s v="Rahman"/>
    <n v="41"/>
    <x v="2"/>
    <x v="2"/>
    <x v="0"/>
    <d v="2025-09-10T00:00:00"/>
    <n v="5500"/>
    <s v="tariq.rahman67@example.com"/>
    <s v="052-985-9816"/>
    <x v="1"/>
    <x v="0"/>
    <s v="Normal"/>
    <s v="No"/>
  </r>
  <r>
    <s v="EMP1068"/>
    <s v="Rami"/>
    <s v="Omar"/>
    <n v="45"/>
    <x v="6"/>
    <x v="5"/>
    <x v="0"/>
    <d v="2020-02-02T00:00:00"/>
    <n v="14100"/>
    <s v="rami.omar68@example.com"/>
    <s v="057-833-3915"/>
    <x v="3"/>
    <x v="0"/>
    <s v="Normal"/>
    <s v="No"/>
  </r>
  <r>
    <s v="EMP1069"/>
    <s v="Salma"/>
    <s v="Ahmed"/>
    <n v="25"/>
    <x v="3"/>
    <x v="3"/>
    <x v="0"/>
    <d v="2025-02-02T00:00:00"/>
    <n v="8000"/>
    <s v="salma.ahmed69@example.com"/>
    <s v="054-800-3915"/>
    <x v="2"/>
    <x v="0"/>
    <s v="Normal"/>
    <s v="No"/>
  </r>
  <r>
    <s v="EMP1070"/>
    <s v="Zaid"/>
    <s v="Hadi"/>
    <n v="42"/>
    <x v="4"/>
    <x v="2"/>
    <x v="0"/>
    <d v="2025-07-11T00:00:00"/>
    <n v="11100"/>
    <s v="zaid.hadi70@example.com"/>
    <s v="057-347-8000"/>
    <x v="1"/>
    <x v="1"/>
    <s v="Normal"/>
    <s v="No"/>
  </r>
  <r>
    <s v="EMP1071"/>
    <s v="Yahya"/>
    <s v="Khan"/>
    <n v="31"/>
    <x v="3"/>
    <x v="0"/>
    <x v="2"/>
    <m/>
    <n v="47330"/>
    <s v="yahyakhan95@gmail.com"/>
    <s v="053-692-6069"/>
    <x v="3"/>
    <x v="0"/>
    <s v="Needs Attention"/>
    <s v="No"/>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3F7025-D788-4A63-BD62-BB7A013530F0}"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H10" firstHeaderRow="1" firstDataRow="1" firstDataCol="1"/>
  <pivotFields count="15">
    <pivotField showAll="0"/>
    <pivotField showAll="0"/>
    <pivotField showAll="0"/>
    <pivotField showAll="0"/>
    <pivotField axis="axisRow" showAll="0">
      <items count="9">
        <item x="7"/>
        <item x="5"/>
        <item x="2"/>
        <item x="1"/>
        <item x="6"/>
        <item x="3"/>
        <item x="0"/>
        <item x="4"/>
        <item t="default"/>
      </items>
    </pivotField>
    <pivotField showAll="0">
      <items count="7">
        <item x="5"/>
        <item x="2"/>
        <item x="3"/>
        <item x="0"/>
        <item x="4"/>
        <item x="1"/>
        <item t="default"/>
      </items>
    </pivotField>
    <pivotField showAll="0">
      <items count="4">
        <item x="0"/>
        <item x="1"/>
        <item x="2"/>
        <item t="default"/>
      </items>
    </pivotField>
    <pivotField showAll="0"/>
    <pivotField dataField="1" showAll="0"/>
    <pivotField showAll="0"/>
    <pivotField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Average of Salary" fld="8" subtotal="average" baseField="4" baseItem="4"/>
  </dataFields>
  <formats count="2">
    <format dxfId="4">
      <pivotArea collapsedLevelsAreSubtotals="1" fieldPosition="0">
        <references count="1">
          <reference field="4" count="0"/>
        </references>
      </pivotArea>
    </format>
    <format dxfId="3">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D98C78-B320-4DFE-9B88-E14680799B00}"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10" firstHeaderRow="1" firstDataRow="1" firstDataCol="1"/>
  <pivotFields count="15">
    <pivotField dataField="1" showAll="0"/>
    <pivotField showAll="0"/>
    <pivotField showAll="0"/>
    <pivotField showAll="0"/>
    <pivotField axis="axisRow" showAll="0">
      <items count="9">
        <item x="7"/>
        <item x="5"/>
        <item x="2"/>
        <item x="1"/>
        <item x="6"/>
        <item x="3"/>
        <item x="0"/>
        <item x="4"/>
        <item t="default"/>
      </items>
    </pivotField>
    <pivotField showAll="0">
      <items count="7">
        <item x="5"/>
        <item x="2"/>
        <item x="3"/>
        <item x="0"/>
        <item x="4"/>
        <item x="1"/>
        <item t="default"/>
      </items>
    </pivotField>
    <pivotField showAll="0">
      <items count="4">
        <item x="0"/>
        <item x="1"/>
        <item x="2"/>
        <item t="default"/>
      </items>
    </pivotField>
    <pivotField showAll="0"/>
    <pivotField showAll="0"/>
    <pivotField showAll="0"/>
    <pivotField showAll="0"/>
    <pivotField showAll="0"/>
    <pivotField showAll="0"/>
    <pivotField showAll="0"/>
    <pivotField showAll="0"/>
  </pivotFields>
  <rowFields count="1">
    <field x="4"/>
  </rowFields>
  <rowItems count="9">
    <i>
      <x/>
    </i>
    <i>
      <x v="1"/>
    </i>
    <i>
      <x v="2"/>
    </i>
    <i>
      <x v="3"/>
    </i>
    <i>
      <x v="4"/>
    </i>
    <i>
      <x v="5"/>
    </i>
    <i>
      <x v="6"/>
    </i>
    <i>
      <x v="7"/>
    </i>
    <i t="grand">
      <x/>
    </i>
  </rowItems>
  <colItems count="1">
    <i/>
  </colItems>
  <dataFields count="1">
    <dataField name="Count of Employee_ID" fld="0" subtotal="count"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8FB264-9516-4603-BE0E-192E6CCBA9A8}" name="PivotTable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L1:P7" firstHeaderRow="1" firstDataRow="2" firstDataCol="1"/>
  <pivotFields count="15">
    <pivotField dataField="1" showAll="0"/>
    <pivotField showAll="0"/>
    <pivotField showAll="0"/>
    <pivotField showAll="0"/>
    <pivotField showAll="0">
      <items count="9">
        <item x="7"/>
        <item x="5"/>
        <item x="2"/>
        <item x="1"/>
        <item x="6"/>
        <item x="3"/>
        <item x="0"/>
        <item x="4"/>
        <item t="default"/>
      </items>
    </pivotField>
    <pivotField showAll="0">
      <items count="7">
        <item x="5"/>
        <item x="2"/>
        <item x="3"/>
        <item x="0"/>
        <item x="4"/>
        <item x="1"/>
        <item t="default"/>
      </items>
    </pivotField>
    <pivotField showAll="0">
      <items count="4">
        <item x="0"/>
        <item x="1"/>
        <item x="2"/>
        <item t="default"/>
      </items>
    </pivotField>
    <pivotField showAll="0"/>
    <pivotField showAll="0"/>
    <pivotField showAll="0"/>
    <pivotField showAll="0"/>
    <pivotField axis="axisRow" showAll="0">
      <items count="5">
        <item x="3"/>
        <item x="2"/>
        <item x="1"/>
        <item x="0"/>
        <item t="default"/>
      </items>
    </pivotField>
    <pivotField axis="axisCol" showAll="0">
      <items count="4">
        <item x="0"/>
        <item x="1"/>
        <item x="2"/>
        <item t="default"/>
      </items>
    </pivotField>
    <pivotField showAll="0"/>
    <pivotField showAll="0"/>
  </pivotFields>
  <rowFields count="1">
    <field x="11"/>
  </rowFields>
  <rowItems count="5">
    <i>
      <x/>
    </i>
    <i>
      <x v="1"/>
    </i>
    <i>
      <x v="2"/>
    </i>
    <i>
      <x v="3"/>
    </i>
    <i t="grand">
      <x/>
    </i>
  </rowItems>
  <colFields count="1">
    <field x="12"/>
  </colFields>
  <colItems count="4">
    <i>
      <x/>
    </i>
    <i>
      <x v="1"/>
    </i>
    <i>
      <x v="2"/>
    </i>
    <i t="grand">
      <x/>
    </i>
  </colItems>
  <dataFields count="1">
    <dataField name="Count of Employee_ID" fld="0" subtotal="count" baseField="0" baseItem="0"/>
  </dataFields>
  <chartFormats count="6">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0" format="2" series="1">
      <pivotArea type="data" outline="0" fieldPosition="0">
        <references count="2">
          <reference field="4294967294" count="1" selected="0">
            <x v="0"/>
          </reference>
          <reference field="12" count="1" selected="0">
            <x v="2"/>
          </reference>
        </references>
      </pivotArea>
    </chartFormat>
    <chartFormat chart="6" format="6" series="1">
      <pivotArea type="data" outline="0" fieldPosition="0">
        <references count="2">
          <reference field="4294967294" count="1" selected="0">
            <x v="0"/>
          </reference>
          <reference field="12" count="1" selected="0">
            <x v="0"/>
          </reference>
        </references>
      </pivotArea>
    </chartFormat>
    <chartFormat chart="6" format="7" series="1">
      <pivotArea type="data" outline="0" fieldPosition="0">
        <references count="2">
          <reference field="4294967294" count="1" selected="0">
            <x v="0"/>
          </reference>
          <reference field="12" count="1" selected="0">
            <x v="1"/>
          </reference>
        </references>
      </pivotArea>
    </chartFormat>
    <chartFormat chart="6"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931CA3A-372F-45DB-969D-D7F75C088558}" autoFormatId="16" applyNumberFormats="0" applyBorderFormats="0" applyFontFormats="0" applyPatternFormats="0" applyAlignmentFormats="0" applyWidthHeightFormats="0">
  <queryTableRefresh nextId="16" unboundColumnsRight="2">
    <queryTableFields count="15">
      <queryTableField id="1" name="Employee_ID" tableColumnId="1"/>
      <queryTableField id="2" name="First_Name" tableColumnId="2"/>
      <queryTableField id="3" name="Last_Name" tableColumnId="3"/>
      <queryTableField id="4" name="Age" tableColumnId="4"/>
      <queryTableField id="5" name="Department" tableColumnId="5"/>
      <queryTableField id="6" name="Region" tableColumnId="6"/>
      <queryTableField id="7" name="Status" tableColumnId="7"/>
      <queryTableField id="8" name="Join_Date" tableColumnId="8"/>
      <queryTableField id="9" name="Salary" tableColumnId="9"/>
      <queryTableField id="10" name="Email" tableColumnId="10"/>
      <queryTableField id="11" name="Phone" tableColumnId="11"/>
      <queryTableField id="12" name="Performance_Score" tableColumnId="12"/>
      <queryTableField id="13" name="Remote_Work" tableColumnId="13"/>
      <queryTableField id="14" dataBound="0" tableColumnId="14"/>
      <queryTableField id="15" dataBound="0"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179FF42-1FCC-4828-B110-CC9EB948335E}" sourceName="Department">
  <pivotTables>
    <pivotTable tabId="4" name="PivotTable1"/>
    <pivotTable tabId="4" name="PivotTable4"/>
    <pivotTable tabId="4" name="PivotTable5"/>
  </pivotTables>
  <data>
    <tabular pivotCacheId="1944176198">
      <items count="8">
        <i x="7" s="1"/>
        <i x="5" s="1"/>
        <i x="2" s="1"/>
        <i x="1" s="1"/>
        <i x="6" s="1"/>
        <i x="3" s="1"/>
        <i x="0"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3AED938-05E3-40E9-902D-D46CAE4B2A9A}" sourceName="Status">
  <pivotTables>
    <pivotTable tabId="4" name="PivotTable5"/>
    <pivotTable tabId="4" name="PivotTable1"/>
    <pivotTable tabId="4" name="PivotTable4"/>
  </pivotTables>
  <data>
    <tabular pivotCacheId="194417619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945F8F-0BBE-414E-90BC-1F419BCCBF2C}" sourceName="Region">
  <pivotTables>
    <pivotTable tabId="4" name="PivotTable4"/>
    <pivotTable tabId="4" name="PivotTable1"/>
    <pivotTable tabId="4" name="PivotTable5"/>
  </pivotTables>
  <data>
    <tabular pivotCacheId="1944176198">
      <items count="6">
        <i x="5" s="1"/>
        <i x="2" s="1"/>
        <i x="3" s="1"/>
        <i x="0" s="1"/>
        <i x="4"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DD07C0EF-18C0-4D60-A3C7-BE2B8306758B}" cache="Slicer_Department" caption="Department" rowHeight="230716"/>
  <slicer name="Status" xr10:uid="{DB0A00CB-0031-4DBC-A63B-AB1DFFC7C189}" cache="Slicer_Status" caption="Status" rowHeight="230716"/>
  <slicer name="Region" xr10:uid="{006E7F83-35E6-4E2C-8A49-FA958ADA4338}" cache="Slicer_Region" caption="Region" rowHeight="230716"/>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HRRawDataTable" displayName="HRRawDataTable" ref="A1:M72" totalsRowShown="0" headerRowDxfId="17">
  <tableColumns count="13">
    <tableColumn id="1" xr3:uid="{00000000-0010-0000-0000-000001000000}" name="Employee_ID"/>
    <tableColumn id="2" xr3:uid="{00000000-0010-0000-0000-000002000000}" name="First_Name"/>
    <tableColumn id="3" xr3:uid="{00000000-0010-0000-0000-000003000000}" name="Last_Name"/>
    <tableColumn id="4" xr3:uid="{00000000-0010-0000-0000-000004000000}" name="Name"/>
    <tableColumn id="5" xr3:uid="{00000000-0010-0000-0000-000005000000}" name="Age"/>
    <tableColumn id="6" xr3:uid="{00000000-0010-0000-0000-000006000000}" name="Department_Region"/>
    <tableColumn id="7" xr3:uid="{00000000-0010-0000-0000-000007000000}" name="Status"/>
    <tableColumn id="8" xr3:uid="{00000000-0010-0000-0000-000008000000}" name="Join_Date"/>
    <tableColumn id="9" xr3:uid="{00000000-0010-0000-0000-000009000000}" name="Salary"/>
    <tableColumn id="10" xr3:uid="{00000000-0010-0000-0000-00000A000000}" name="Email"/>
    <tableColumn id="11" xr3:uid="{00000000-0010-0000-0000-00000B000000}" name="Phone"/>
    <tableColumn id="12" xr3:uid="{00000000-0010-0000-0000-00000C000000}" name="Performance_Score"/>
    <tableColumn id="13" xr3:uid="{00000000-0010-0000-0000-00000D000000}" name="Remote_Work"/>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BB05CF-0034-4B02-9703-5E7D0C79EA09}" name="CleanEmployeeData" displayName="CleanEmployeeData" ref="A1:O70" tableType="queryTable" totalsRowShown="0" headerRowDxfId="16">
  <autoFilter ref="A1:O70" xr:uid="{95BB05CF-0034-4B02-9703-5E7D0C79EA09}"/>
  <tableColumns count="15">
    <tableColumn id="1" xr3:uid="{E3EEA7A5-CB71-4DDD-B98D-CF43DAF5D3AE}" uniqueName="1" name="Employee_ID" queryTableFieldId="1" dataDxfId="15"/>
    <tableColumn id="2" xr3:uid="{554E6672-CB46-4E9D-A022-0BFBAC4EE9D7}" uniqueName="2" name="First_Name" queryTableFieldId="2" dataDxfId="14"/>
    <tableColumn id="3" xr3:uid="{F0E331DA-2E40-41FE-9AD5-4F849AA27322}" uniqueName="3" name="Last_Name" queryTableFieldId="3" dataDxfId="13"/>
    <tableColumn id="4" xr3:uid="{FF4BC694-5DD4-416C-B185-7445A6255812}" uniqueName="4" name="Age" queryTableFieldId="4"/>
    <tableColumn id="5" xr3:uid="{7D78EF8F-4261-4C2E-9997-89A45146250E}" uniqueName="5" name="Department" queryTableFieldId="5" dataDxfId="12"/>
    <tableColumn id="6" xr3:uid="{CE19E96E-EC58-460E-9EF1-A930FFC75D44}" uniqueName="6" name="Region" queryTableFieldId="6" dataDxfId="11"/>
    <tableColumn id="7" xr3:uid="{651EA20E-F92D-45C5-AED5-D2A6439A82C2}" uniqueName="7" name="Status" queryTableFieldId="7" dataDxfId="10"/>
    <tableColumn id="8" xr3:uid="{5D25A59D-0627-4365-811B-4D4DD9D4D0E1}" uniqueName="8" name="Join_Date" queryTableFieldId="8" dataDxfId="0"/>
    <tableColumn id="9" xr3:uid="{81D2EFBD-A826-4E98-BB41-9F3EFF3CD5B3}" uniqueName="9" name="Salary" queryTableFieldId="9"/>
    <tableColumn id="10" xr3:uid="{253103C0-1DDF-4AF3-BD6D-4CE42E31873F}" uniqueName="10" name="Email" queryTableFieldId="10" dataDxfId="9"/>
    <tableColumn id="11" xr3:uid="{F02096BA-D9C5-4BD8-A371-FE30FF466DEF}" uniqueName="11" name="Phone" queryTableFieldId="11" dataDxfId="8"/>
    <tableColumn id="12" xr3:uid="{B17093E7-3B86-4DEE-A21E-E72AACEDBB81}" uniqueName="12" name="Performance_Score" queryTableFieldId="12" dataDxfId="7"/>
    <tableColumn id="13" xr3:uid="{3C807894-06B7-4098-A6B0-2640237035E7}" uniqueName="13" name="Remote_Work" queryTableFieldId="13"/>
    <tableColumn id="14" xr3:uid="{BC953CB3-C36A-446B-BE41-A46751BD53DA}" uniqueName="14" name="HR_Flag" queryTableFieldId="14" dataDxfId="6">
      <calculatedColumnFormula>IF(OR(CleanEmployeeData[[#This Row],[Status]]="Pending",CleanEmployeeData[[#This Row],[Performance_Score]]="Needs Improvement"),"Needs Attention","Normal")</calculatedColumnFormula>
    </tableColumn>
    <tableColumn id="15" xr3:uid="{A4687BAF-0AC1-4371-9227-86E0B9B2CFC4}" uniqueName="15" name="Priority_Review" queryTableFieldId="15" dataDxfId="5">
      <calculatedColumnFormula>IF(AND(CleanEmployeeData[[#This Row],[Status]]="Active",CleanEmployeeData[[#This Row],[Performance_Score]]="Needs Improvement"),"Priority Review","No")</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mailto:yahyakhan95@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2"/>
  <sheetViews>
    <sheetView topLeftCell="D59" zoomScale="161" workbookViewId="0">
      <selection activeCell="D66" sqref="D66"/>
    </sheetView>
  </sheetViews>
  <sheetFormatPr defaultRowHeight="14"/>
  <cols>
    <col min="1" max="3" width="14" customWidth="1"/>
    <col min="4" max="4" width="24" customWidth="1"/>
    <col min="5" max="5" width="9" customWidth="1"/>
    <col min="6" max="6" width="25" customWidth="1"/>
    <col min="7" max="7" width="13" customWidth="1"/>
    <col min="8" max="8" width="16" customWidth="1"/>
    <col min="9" max="9" width="14" customWidth="1"/>
    <col min="10" max="10" width="32" customWidth="1"/>
    <col min="11" max="11" width="19" customWidth="1"/>
    <col min="12" max="12" width="20" customWidth="1"/>
    <col min="13" max="13" width="14" customWidth="1"/>
  </cols>
  <sheetData>
    <row r="1" spans="1:13">
      <c r="A1" s="2" t="s">
        <v>0</v>
      </c>
      <c r="B1" s="2" t="s">
        <v>1</v>
      </c>
      <c r="C1" s="2" t="s">
        <v>2</v>
      </c>
      <c r="D1" s="2" t="s">
        <v>3</v>
      </c>
      <c r="E1" s="2" t="s">
        <v>4</v>
      </c>
      <c r="F1" s="2" t="s">
        <v>5</v>
      </c>
      <c r="G1" s="2" t="s">
        <v>6</v>
      </c>
      <c r="H1" s="2" t="s">
        <v>7</v>
      </c>
      <c r="I1" s="2" t="s">
        <v>8</v>
      </c>
      <c r="J1" s="2" t="s">
        <v>9</v>
      </c>
      <c r="K1" s="2" t="s">
        <v>10</v>
      </c>
      <c r="L1" s="2" t="s">
        <v>11</v>
      </c>
      <c r="M1" s="2" t="s">
        <v>12</v>
      </c>
    </row>
    <row r="2" spans="1:13">
      <c r="A2" t="s">
        <v>13</v>
      </c>
      <c r="B2" t="s">
        <v>14</v>
      </c>
      <c r="C2" t="s">
        <v>15</v>
      </c>
      <c r="D2" t="s">
        <v>16</v>
      </c>
      <c r="E2">
        <v>26</v>
      </c>
      <c r="F2" t="s">
        <v>17</v>
      </c>
      <c r="G2" t="s">
        <v>18</v>
      </c>
      <c r="H2" t="s">
        <v>19</v>
      </c>
      <c r="I2">
        <v>13700</v>
      </c>
      <c r="J2" t="s">
        <v>20</v>
      </c>
      <c r="K2" t="s">
        <v>21</v>
      </c>
      <c r="L2" t="s">
        <v>22</v>
      </c>
      <c r="M2" s="1" t="b">
        <v>0</v>
      </c>
    </row>
    <row r="3" spans="1:13">
      <c r="A3" t="s">
        <v>23</v>
      </c>
      <c r="B3" t="s">
        <v>24</v>
      </c>
      <c r="C3" t="s">
        <v>25</v>
      </c>
      <c r="D3" t="s">
        <v>26</v>
      </c>
      <c r="E3">
        <v>48</v>
      </c>
      <c r="F3" t="s">
        <v>27</v>
      </c>
      <c r="G3" t="s">
        <v>18</v>
      </c>
      <c r="H3" t="s">
        <v>28</v>
      </c>
      <c r="I3">
        <v>13100</v>
      </c>
      <c r="J3" t="s">
        <v>29</v>
      </c>
      <c r="K3" t="s">
        <v>30</v>
      </c>
      <c r="L3" t="s">
        <v>31</v>
      </c>
      <c r="M3" s="1" t="b">
        <v>0</v>
      </c>
    </row>
    <row r="4" spans="1:13">
      <c r="A4" t="s">
        <v>32</v>
      </c>
      <c r="B4" t="s">
        <v>33</v>
      </c>
      <c r="C4" t="s">
        <v>34</v>
      </c>
      <c r="D4" t="s">
        <v>35</v>
      </c>
      <c r="E4">
        <v>24</v>
      </c>
      <c r="F4" t="s">
        <v>36</v>
      </c>
      <c r="G4" t="s">
        <v>18</v>
      </c>
      <c r="H4" t="s">
        <v>37</v>
      </c>
      <c r="I4">
        <v>8000</v>
      </c>
      <c r="J4" t="s">
        <v>38</v>
      </c>
      <c r="K4" t="s">
        <v>39</v>
      </c>
      <c r="L4" t="s">
        <v>40</v>
      </c>
      <c r="M4" s="1" t="b">
        <v>1</v>
      </c>
    </row>
    <row r="5" spans="1:13">
      <c r="A5" t="s">
        <v>41</v>
      </c>
      <c r="B5" t="s">
        <v>42</v>
      </c>
      <c r="C5" t="s">
        <v>43</v>
      </c>
      <c r="D5" t="s">
        <v>44</v>
      </c>
      <c r="E5">
        <v>26</v>
      </c>
      <c r="F5" t="s">
        <v>45</v>
      </c>
      <c r="G5" t="s">
        <v>46</v>
      </c>
      <c r="H5" t="s">
        <v>47</v>
      </c>
      <c r="I5">
        <v>16100</v>
      </c>
      <c r="J5" t="s">
        <v>48</v>
      </c>
      <c r="K5" t="s">
        <v>49</v>
      </c>
      <c r="L5" t="s">
        <v>40</v>
      </c>
      <c r="M5" s="1" t="b">
        <v>0</v>
      </c>
    </row>
    <row r="6" spans="1:13">
      <c r="A6" t="s">
        <v>50</v>
      </c>
      <c r="B6" t="s">
        <v>51</v>
      </c>
      <c r="C6" t="s">
        <v>15</v>
      </c>
      <c r="D6" t="s">
        <v>52</v>
      </c>
      <c r="E6">
        <v>32</v>
      </c>
      <c r="F6" t="s">
        <v>53</v>
      </c>
      <c r="G6" t="s">
        <v>18</v>
      </c>
      <c r="H6" t="s">
        <v>54</v>
      </c>
      <c r="I6">
        <v>6500</v>
      </c>
      <c r="J6" t="s">
        <v>55</v>
      </c>
      <c r="K6" t="s">
        <v>56</v>
      </c>
      <c r="L6" t="s">
        <v>31</v>
      </c>
      <c r="M6" s="1" t="b">
        <v>1</v>
      </c>
    </row>
    <row r="7" spans="1:13">
      <c r="A7" t="s">
        <v>50</v>
      </c>
      <c r="B7" t="s">
        <v>25</v>
      </c>
      <c r="C7" t="s">
        <v>57</v>
      </c>
      <c r="D7" t="s">
        <v>58</v>
      </c>
      <c r="E7">
        <v>40</v>
      </c>
      <c r="F7" t="s">
        <v>59</v>
      </c>
      <c r="G7" t="s">
        <v>18</v>
      </c>
      <c r="H7" t="s">
        <v>60</v>
      </c>
      <c r="I7">
        <v>11400</v>
      </c>
      <c r="J7" t="s">
        <v>61</v>
      </c>
      <c r="K7" t="s">
        <v>62</v>
      </c>
      <c r="L7" t="s">
        <v>31</v>
      </c>
      <c r="M7" s="1" t="b">
        <v>1</v>
      </c>
    </row>
    <row r="8" spans="1:13">
      <c r="A8" t="s">
        <v>63</v>
      </c>
      <c r="B8" t="s">
        <v>64</v>
      </c>
      <c r="C8" t="s">
        <v>65</v>
      </c>
      <c r="D8" t="s">
        <v>66</v>
      </c>
      <c r="E8">
        <v>40</v>
      </c>
      <c r="F8" t="s">
        <v>67</v>
      </c>
      <c r="G8" t="s">
        <v>18</v>
      </c>
      <c r="H8" t="s">
        <v>68</v>
      </c>
      <c r="I8">
        <v>14700</v>
      </c>
      <c r="J8" t="s">
        <v>69</v>
      </c>
      <c r="K8" t="s">
        <v>70</v>
      </c>
      <c r="L8" t="s">
        <v>31</v>
      </c>
      <c r="M8" s="1" t="b">
        <v>0</v>
      </c>
    </row>
    <row r="9" spans="1:13">
      <c r="A9" t="s">
        <v>71</v>
      </c>
      <c r="B9" t="s">
        <v>72</v>
      </c>
      <c r="C9" t="s">
        <v>73</v>
      </c>
      <c r="D9" t="s">
        <v>74</v>
      </c>
      <c r="E9">
        <v>43</v>
      </c>
      <c r="F9" t="s">
        <v>75</v>
      </c>
      <c r="G9" t="s">
        <v>18</v>
      </c>
      <c r="H9" t="s">
        <v>76</v>
      </c>
      <c r="I9" t="s">
        <v>77</v>
      </c>
      <c r="J9" t="s">
        <v>78</v>
      </c>
      <c r="K9" t="s">
        <v>79</v>
      </c>
      <c r="L9" t="s">
        <v>31</v>
      </c>
      <c r="M9" s="1" t="b">
        <v>1</v>
      </c>
    </row>
    <row r="10" spans="1:13">
      <c r="A10" t="s">
        <v>80</v>
      </c>
      <c r="B10" t="s">
        <v>42</v>
      </c>
      <c r="C10" t="s">
        <v>81</v>
      </c>
      <c r="D10" t="s">
        <v>82</v>
      </c>
      <c r="E10">
        <v>39</v>
      </c>
      <c r="F10" t="s">
        <v>27</v>
      </c>
      <c r="G10" t="s">
        <v>18</v>
      </c>
      <c r="H10" t="s">
        <v>83</v>
      </c>
      <c r="I10">
        <v>12100</v>
      </c>
      <c r="J10" t="s">
        <v>84</v>
      </c>
      <c r="K10" t="s">
        <v>85</v>
      </c>
      <c r="L10" t="s">
        <v>86</v>
      </c>
      <c r="M10" s="1" t="b">
        <v>0</v>
      </c>
    </row>
    <row r="11" spans="1:13">
      <c r="A11" t="s">
        <v>87</v>
      </c>
      <c r="B11" t="s">
        <v>88</v>
      </c>
      <c r="C11" t="s">
        <v>89</v>
      </c>
      <c r="D11" t="s">
        <v>90</v>
      </c>
      <c r="E11">
        <v>43</v>
      </c>
      <c r="F11" t="s">
        <v>91</v>
      </c>
      <c r="G11" t="s">
        <v>92</v>
      </c>
      <c r="H11" t="s">
        <v>93</v>
      </c>
      <c r="I11">
        <v>6200</v>
      </c>
      <c r="J11" t="s">
        <v>94</v>
      </c>
      <c r="K11" t="s">
        <v>95</v>
      </c>
      <c r="L11" t="s">
        <v>31</v>
      </c>
      <c r="M11" s="1" t="b">
        <v>1</v>
      </c>
    </row>
    <row r="12" spans="1:13">
      <c r="A12" t="s">
        <v>96</v>
      </c>
      <c r="B12" t="s">
        <v>97</v>
      </c>
      <c r="C12" t="s">
        <v>98</v>
      </c>
      <c r="D12" t="s">
        <v>99</v>
      </c>
      <c r="E12">
        <v>56</v>
      </c>
      <c r="F12" t="s">
        <v>91</v>
      </c>
      <c r="G12" t="s">
        <v>100</v>
      </c>
      <c r="H12" t="s">
        <v>101</v>
      </c>
      <c r="I12">
        <v>5400</v>
      </c>
      <c r="J12" t="s">
        <v>102</v>
      </c>
      <c r="K12" t="s">
        <v>103</v>
      </c>
      <c r="L12" t="s">
        <v>104</v>
      </c>
      <c r="M12" s="1" t="b">
        <v>0</v>
      </c>
    </row>
    <row r="13" spans="1:13">
      <c r="A13" t="s">
        <v>105</v>
      </c>
      <c r="B13" t="s">
        <v>33</v>
      </c>
      <c r="C13" t="s">
        <v>106</v>
      </c>
      <c r="D13" t="s">
        <v>107</v>
      </c>
      <c r="F13" t="s">
        <v>108</v>
      </c>
      <c r="G13" t="s">
        <v>18</v>
      </c>
      <c r="H13" t="s">
        <v>109</v>
      </c>
      <c r="I13">
        <v>17000</v>
      </c>
      <c r="J13" t="s">
        <v>110</v>
      </c>
      <c r="K13" t="s">
        <v>111</v>
      </c>
      <c r="L13" t="s">
        <v>40</v>
      </c>
      <c r="M13" s="1" t="b">
        <v>0</v>
      </c>
    </row>
    <row r="14" spans="1:13">
      <c r="A14" t="s">
        <v>112</v>
      </c>
      <c r="B14" t="s">
        <v>113</v>
      </c>
      <c r="C14" t="s">
        <v>114</v>
      </c>
      <c r="D14" t="s">
        <v>115</v>
      </c>
      <c r="E14">
        <v>52</v>
      </c>
      <c r="F14" t="s">
        <v>116</v>
      </c>
      <c r="G14" t="s">
        <v>18</v>
      </c>
      <c r="H14" t="s">
        <v>117</v>
      </c>
      <c r="I14">
        <v>6000</v>
      </c>
      <c r="J14" t="s">
        <v>118</v>
      </c>
      <c r="K14" t="s">
        <v>119</v>
      </c>
      <c r="L14" t="s">
        <v>86</v>
      </c>
      <c r="M14" s="1" t="b">
        <v>1</v>
      </c>
    </row>
    <row r="15" spans="1:13">
      <c r="A15" t="s">
        <v>120</v>
      </c>
      <c r="B15" t="s">
        <v>121</v>
      </c>
      <c r="C15" t="s">
        <v>81</v>
      </c>
      <c r="D15" t="s">
        <v>122</v>
      </c>
      <c r="E15">
        <v>28</v>
      </c>
      <c r="F15" t="s">
        <v>123</v>
      </c>
      <c r="G15" t="s">
        <v>18</v>
      </c>
      <c r="H15" t="s">
        <v>124</v>
      </c>
      <c r="I15">
        <v>16600</v>
      </c>
      <c r="J15" t="s">
        <v>125</v>
      </c>
      <c r="K15" t="s">
        <v>126</v>
      </c>
      <c r="L15" t="s">
        <v>22</v>
      </c>
      <c r="M15" s="1" t="b">
        <v>0</v>
      </c>
    </row>
    <row r="16" spans="1:13">
      <c r="A16" t="s">
        <v>127</v>
      </c>
      <c r="B16" t="s">
        <v>24</v>
      </c>
      <c r="C16" t="s">
        <v>128</v>
      </c>
      <c r="D16" t="s">
        <v>129</v>
      </c>
      <c r="E16">
        <v>52</v>
      </c>
      <c r="F16" t="s">
        <v>45</v>
      </c>
      <c r="G16" t="s">
        <v>18</v>
      </c>
      <c r="H16" t="s">
        <v>130</v>
      </c>
      <c r="I16">
        <v>9800</v>
      </c>
      <c r="J16" t="s">
        <v>131</v>
      </c>
      <c r="K16" t="s">
        <v>132</v>
      </c>
      <c r="L16" t="s">
        <v>31</v>
      </c>
      <c r="M16" s="1" t="b">
        <v>0</v>
      </c>
    </row>
    <row r="17" spans="1:13">
      <c r="A17" t="s">
        <v>133</v>
      </c>
      <c r="B17" t="s">
        <v>97</v>
      </c>
      <c r="C17" t="s">
        <v>89</v>
      </c>
      <c r="D17" t="s">
        <v>134</v>
      </c>
      <c r="E17">
        <v>53</v>
      </c>
      <c r="F17" t="s">
        <v>45</v>
      </c>
      <c r="G17" t="s">
        <v>18</v>
      </c>
      <c r="H17" t="s">
        <v>135</v>
      </c>
      <c r="I17">
        <v>8800</v>
      </c>
      <c r="J17" t="s">
        <v>136</v>
      </c>
      <c r="K17" t="s">
        <v>137</v>
      </c>
      <c r="L17" t="s">
        <v>31</v>
      </c>
      <c r="M17" s="1" t="b">
        <v>1</v>
      </c>
    </row>
    <row r="18" spans="1:13">
      <c r="A18" t="s">
        <v>138</v>
      </c>
      <c r="B18" t="s">
        <v>42</v>
      </c>
      <c r="C18" t="s">
        <v>34</v>
      </c>
      <c r="D18" t="s">
        <v>139</v>
      </c>
      <c r="E18">
        <v>37</v>
      </c>
      <c r="F18" t="s">
        <v>17</v>
      </c>
      <c r="G18" t="s">
        <v>46</v>
      </c>
      <c r="H18" t="s">
        <v>140</v>
      </c>
      <c r="I18">
        <v>18700</v>
      </c>
      <c r="J18" t="s">
        <v>141</v>
      </c>
      <c r="K18" t="s">
        <v>142</v>
      </c>
      <c r="L18" t="s">
        <v>31</v>
      </c>
      <c r="M18" s="1" t="b">
        <v>1</v>
      </c>
    </row>
    <row r="19" spans="1:13">
      <c r="A19" t="s">
        <v>143</v>
      </c>
      <c r="B19" t="s">
        <v>24</v>
      </c>
      <c r="C19" t="s">
        <v>144</v>
      </c>
      <c r="D19" t="s">
        <v>145</v>
      </c>
      <c r="E19">
        <v>27</v>
      </c>
      <c r="F19" t="s">
        <v>146</v>
      </c>
      <c r="G19" t="s">
        <v>100</v>
      </c>
      <c r="H19" t="s">
        <v>147</v>
      </c>
      <c r="I19">
        <v>8000</v>
      </c>
      <c r="J19" t="s">
        <v>148</v>
      </c>
      <c r="K19" t="s">
        <v>149</v>
      </c>
      <c r="L19" t="s">
        <v>86</v>
      </c>
      <c r="M19" s="1" t="b">
        <v>1</v>
      </c>
    </row>
    <row r="20" spans="1:13">
      <c r="A20" t="s">
        <v>150</v>
      </c>
      <c r="B20" t="s">
        <v>24</v>
      </c>
      <c r="C20" t="s">
        <v>151</v>
      </c>
      <c r="D20" t="s">
        <v>152</v>
      </c>
      <c r="E20">
        <v>49</v>
      </c>
      <c r="F20" t="s">
        <v>59</v>
      </c>
      <c r="G20" t="s">
        <v>18</v>
      </c>
      <c r="H20" t="s">
        <v>153</v>
      </c>
      <c r="I20">
        <v>11400</v>
      </c>
      <c r="J20" t="s">
        <v>154</v>
      </c>
      <c r="K20" t="s">
        <v>155</v>
      </c>
      <c r="L20" t="s">
        <v>86</v>
      </c>
      <c r="M20" s="1" t="b">
        <v>1</v>
      </c>
    </row>
    <row r="21" spans="1:13">
      <c r="A21" t="s">
        <v>156</v>
      </c>
      <c r="B21" t="s">
        <v>51</v>
      </c>
      <c r="C21" t="s">
        <v>73</v>
      </c>
      <c r="D21" t="s">
        <v>157</v>
      </c>
      <c r="E21">
        <v>45</v>
      </c>
      <c r="F21" t="s">
        <v>158</v>
      </c>
      <c r="G21" t="s">
        <v>18</v>
      </c>
      <c r="H21" t="s">
        <v>159</v>
      </c>
      <c r="I21">
        <v>12600</v>
      </c>
      <c r="J21" t="s">
        <v>160</v>
      </c>
      <c r="K21" t="s">
        <v>161</v>
      </c>
      <c r="L21" t="s">
        <v>86</v>
      </c>
      <c r="M21" s="1" t="b">
        <v>1</v>
      </c>
    </row>
    <row r="22" spans="1:13">
      <c r="A22" t="s">
        <v>162</v>
      </c>
      <c r="B22" t="s">
        <v>163</v>
      </c>
      <c r="C22" t="s">
        <v>164</v>
      </c>
      <c r="D22" t="s">
        <v>165</v>
      </c>
      <c r="E22">
        <v>54</v>
      </c>
      <c r="F22" t="s">
        <v>166</v>
      </c>
      <c r="G22" t="s">
        <v>18</v>
      </c>
      <c r="H22" t="s">
        <v>167</v>
      </c>
      <c r="I22">
        <v>15200</v>
      </c>
      <c r="J22" t="s">
        <v>168</v>
      </c>
      <c r="K22" t="s">
        <v>169</v>
      </c>
      <c r="L22" t="s">
        <v>22</v>
      </c>
      <c r="M22" s="1" t="b">
        <v>0</v>
      </c>
    </row>
    <row r="23" spans="1:13">
      <c r="A23" t="s">
        <v>170</v>
      </c>
      <c r="B23" t="s">
        <v>171</v>
      </c>
      <c r="C23" t="s">
        <v>144</v>
      </c>
      <c r="D23" t="s">
        <v>172</v>
      </c>
      <c r="E23">
        <v>34</v>
      </c>
      <c r="F23" t="s">
        <v>123</v>
      </c>
      <c r="G23" t="s">
        <v>18</v>
      </c>
      <c r="H23" t="s">
        <v>173</v>
      </c>
      <c r="I23">
        <v>17200</v>
      </c>
      <c r="J23" t="s">
        <v>174</v>
      </c>
      <c r="K23" t="s">
        <v>175</v>
      </c>
      <c r="L23" t="s">
        <v>31</v>
      </c>
      <c r="M23" s="1" t="b">
        <v>1</v>
      </c>
    </row>
    <row r="24" spans="1:13">
      <c r="A24" t="s">
        <v>176</v>
      </c>
      <c r="B24" t="s">
        <v>97</v>
      </c>
      <c r="C24" t="s">
        <v>25</v>
      </c>
      <c r="D24" t="s">
        <v>177</v>
      </c>
      <c r="E24">
        <v>55</v>
      </c>
      <c r="F24" t="s">
        <v>178</v>
      </c>
      <c r="G24" t="s">
        <v>18</v>
      </c>
      <c r="H24" t="s">
        <v>179</v>
      </c>
      <c r="I24">
        <v>8900</v>
      </c>
      <c r="J24" t="s">
        <v>180</v>
      </c>
      <c r="K24" t="s">
        <v>181</v>
      </c>
      <c r="L24" t="s">
        <v>22</v>
      </c>
      <c r="M24" s="1" t="b">
        <v>1</v>
      </c>
    </row>
    <row r="25" spans="1:13">
      <c r="A25" t="s">
        <v>182</v>
      </c>
      <c r="B25" t="s">
        <v>25</v>
      </c>
      <c r="C25" t="s">
        <v>15</v>
      </c>
      <c r="D25" t="s">
        <v>183</v>
      </c>
      <c r="E25">
        <v>56</v>
      </c>
      <c r="F25" t="s">
        <v>184</v>
      </c>
      <c r="G25" t="s">
        <v>18</v>
      </c>
      <c r="H25" t="s">
        <v>185</v>
      </c>
      <c r="I25">
        <v>12500</v>
      </c>
      <c r="J25" t="s">
        <v>186</v>
      </c>
      <c r="K25" t="s">
        <v>187</v>
      </c>
      <c r="L25" t="s">
        <v>86</v>
      </c>
      <c r="M25" t="s">
        <v>188</v>
      </c>
    </row>
    <row r="26" spans="1:13">
      <c r="A26" t="s">
        <v>189</v>
      </c>
      <c r="B26" t="s">
        <v>190</v>
      </c>
      <c r="C26" t="s">
        <v>81</v>
      </c>
      <c r="D26" t="s">
        <v>191</v>
      </c>
      <c r="E26">
        <v>54</v>
      </c>
      <c r="F26" t="s">
        <v>75</v>
      </c>
      <c r="G26" t="s">
        <v>18</v>
      </c>
      <c r="H26" t="s">
        <v>192</v>
      </c>
      <c r="I26">
        <v>17900</v>
      </c>
      <c r="J26" t="s">
        <v>193</v>
      </c>
      <c r="K26" t="s">
        <v>194</v>
      </c>
      <c r="L26" t="s">
        <v>31</v>
      </c>
      <c r="M26" s="1" t="b">
        <v>0</v>
      </c>
    </row>
    <row r="27" spans="1:13">
      <c r="A27" t="s">
        <v>195</v>
      </c>
      <c r="B27" t="s">
        <v>196</v>
      </c>
      <c r="C27" t="s">
        <v>81</v>
      </c>
      <c r="D27" t="s">
        <v>197</v>
      </c>
      <c r="E27">
        <v>34</v>
      </c>
      <c r="F27" t="s">
        <v>198</v>
      </c>
      <c r="G27" t="s">
        <v>46</v>
      </c>
      <c r="H27" t="s">
        <v>199</v>
      </c>
      <c r="I27">
        <v>15400</v>
      </c>
      <c r="J27" t="s">
        <v>200</v>
      </c>
      <c r="K27" t="s">
        <v>201</v>
      </c>
      <c r="L27" t="s">
        <v>86</v>
      </c>
      <c r="M27" s="1" t="b">
        <v>0</v>
      </c>
    </row>
    <row r="28" spans="1:13">
      <c r="A28" t="s">
        <v>202</v>
      </c>
      <c r="B28" t="s">
        <v>51</v>
      </c>
      <c r="C28" t="s">
        <v>121</v>
      </c>
      <c r="D28" t="s">
        <v>203</v>
      </c>
      <c r="E28">
        <v>37</v>
      </c>
      <c r="F28" t="s">
        <v>45</v>
      </c>
      <c r="G28" t="s">
        <v>18</v>
      </c>
      <c r="H28" t="s">
        <v>204</v>
      </c>
      <c r="I28">
        <v>14800</v>
      </c>
      <c r="J28" t="s">
        <v>205</v>
      </c>
      <c r="K28" t="s">
        <v>206</v>
      </c>
      <c r="L28" t="s">
        <v>31</v>
      </c>
      <c r="M28" s="1" t="b">
        <v>1</v>
      </c>
    </row>
    <row r="29" spans="1:13">
      <c r="A29" t="s">
        <v>207</v>
      </c>
      <c r="B29" t="s">
        <v>97</v>
      </c>
      <c r="C29" t="s">
        <v>89</v>
      </c>
      <c r="D29" t="s">
        <v>208</v>
      </c>
      <c r="E29">
        <v>25</v>
      </c>
      <c r="F29" t="s">
        <v>67</v>
      </c>
      <c r="G29" t="s">
        <v>18</v>
      </c>
      <c r="H29" t="s">
        <v>209</v>
      </c>
      <c r="I29">
        <v>14600</v>
      </c>
      <c r="J29" t="s">
        <v>210</v>
      </c>
      <c r="K29" t="s">
        <v>211</v>
      </c>
      <c r="L29" t="s">
        <v>22</v>
      </c>
      <c r="M29" s="1" t="b">
        <v>1</v>
      </c>
    </row>
    <row r="30" spans="1:13">
      <c r="A30" t="s">
        <v>212</v>
      </c>
      <c r="B30" t="s">
        <v>171</v>
      </c>
      <c r="C30" t="s">
        <v>43</v>
      </c>
      <c r="D30" t="s">
        <v>213</v>
      </c>
      <c r="E30">
        <v>38</v>
      </c>
      <c r="F30" t="s">
        <v>214</v>
      </c>
      <c r="G30" t="s">
        <v>46</v>
      </c>
      <c r="H30" t="s">
        <v>215</v>
      </c>
      <c r="I30">
        <v>5100</v>
      </c>
      <c r="J30" t="s">
        <v>216</v>
      </c>
      <c r="K30" t="s">
        <v>217</v>
      </c>
      <c r="L30" t="s">
        <v>22</v>
      </c>
      <c r="M30" s="1" t="b">
        <v>1</v>
      </c>
    </row>
    <row r="31" spans="1:13">
      <c r="A31" t="s">
        <v>218</v>
      </c>
      <c r="B31" t="s">
        <v>219</v>
      </c>
      <c r="C31" t="s">
        <v>25</v>
      </c>
      <c r="D31" t="s">
        <v>220</v>
      </c>
      <c r="E31">
        <v>59</v>
      </c>
      <c r="F31" t="s">
        <v>166</v>
      </c>
      <c r="G31" t="s">
        <v>46</v>
      </c>
      <c r="H31" t="s">
        <v>221</v>
      </c>
      <c r="J31" t="s">
        <v>222</v>
      </c>
      <c r="K31" t="s">
        <v>223</v>
      </c>
      <c r="L31" t="s">
        <v>86</v>
      </c>
      <c r="M31" s="1" t="b">
        <v>0</v>
      </c>
    </row>
    <row r="32" spans="1:13">
      <c r="A32" t="s">
        <v>224</v>
      </c>
      <c r="B32" t="s">
        <v>88</v>
      </c>
      <c r="C32" t="s">
        <v>81</v>
      </c>
      <c r="D32" t="s">
        <v>225</v>
      </c>
      <c r="E32">
        <v>52</v>
      </c>
      <c r="F32" t="s">
        <v>198</v>
      </c>
      <c r="G32" t="s">
        <v>18</v>
      </c>
      <c r="H32" t="s">
        <v>226</v>
      </c>
      <c r="I32">
        <v>5300</v>
      </c>
      <c r="J32" t="s">
        <v>227</v>
      </c>
      <c r="K32" t="s">
        <v>228</v>
      </c>
      <c r="L32" t="s">
        <v>31</v>
      </c>
      <c r="M32" s="1" t="b">
        <v>1</v>
      </c>
    </row>
    <row r="33" spans="1:13">
      <c r="A33" t="s">
        <v>229</v>
      </c>
      <c r="B33" t="s">
        <v>88</v>
      </c>
      <c r="C33" t="s">
        <v>114</v>
      </c>
      <c r="D33" t="s">
        <v>230</v>
      </c>
      <c r="E33">
        <v>53</v>
      </c>
      <c r="F33" t="s">
        <v>231</v>
      </c>
      <c r="G33" t="s">
        <v>46</v>
      </c>
      <c r="H33" t="s">
        <v>232</v>
      </c>
      <c r="I33">
        <v>6700</v>
      </c>
      <c r="J33" t="s">
        <v>233</v>
      </c>
      <c r="K33" t="s">
        <v>234</v>
      </c>
      <c r="L33" t="s">
        <v>31</v>
      </c>
      <c r="M33" s="1" t="b">
        <v>1</v>
      </c>
    </row>
    <row r="34" spans="1:13">
      <c r="A34" t="s">
        <v>235</v>
      </c>
      <c r="B34" t="s">
        <v>219</v>
      </c>
      <c r="C34" t="s">
        <v>106</v>
      </c>
      <c r="D34" t="s">
        <v>236</v>
      </c>
      <c r="E34">
        <v>53</v>
      </c>
      <c r="F34" t="s">
        <v>178</v>
      </c>
      <c r="G34" t="s">
        <v>18</v>
      </c>
      <c r="H34" t="s">
        <v>237</v>
      </c>
      <c r="I34">
        <v>7800</v>
      </c>
      <c r="J34" t="s">
        <v>238</v>
      </c>
      <c r="K34" t="s">
        <v>239</v>
      </c>
      <c r="L34" t="s">
        <v>40</v>
      </c>
      <c r="M34" s="1" t="b">
        <v>1</v>
      </c>
    </row>
    <row r="35" spans="1:13">
      <c r="A35" t="s">
        <v>240</v>
      </c>
      <c r="B35" t="s">
        <v>113</v>
      </c>
      <c r="C35" t="s">
        <v>241</v>
      </c>
      <c r="D35" t="s">
        <v>242</v>
      </c>
      <c r="E35">
        <v>50</v>
      </c>
      <c r="F35" t="s">
        <v>27</v>
      </c>
      <c r="G35" t="s">
        <v>18</v>
      </c>
      <c r="H35" t="s">
        <v>243</v>
      </c>
      <c r="I35">
        <v>7200</v>
      </c>
      <c r="J35" t="s">
        <v>244</v>
      </c>
      <c r="K35" t="s">
        <v>245</v>
      </c>
      <c r="L35" t="s">
        <v>40</v>
      </c>
      <c r="M35" s="1" t="b">
        <v>0</v>
      </c>
    </row>
    <row r="36" spans="1:13">
      <c r="A36" t="s">
        <v>246</v>
      </c>
      <c r="B36" t="s">
        <v>190</v>
      </c>
      <c r="C36" t="s">
        <v>121</v>
      </c>
      <c r="D36" t="s">
        <v>247</v>
      </c>
      <c r="E36">
        <v>28</v>
      </c>
      <c r="F36" t="s">
        <v>116</v>
      </c>
      <c r="G36" t="s">
        <v>18</v>
      </c>
      <c r="H36" t="s">
        <v>248</v>
      </c>
      <c r="I36">
        <v>16000</v>
      </c>
      <c r="J36" t="s">
        <v>249</v>
      </c>
      <c r="K36" t="s">
        <v>250</v>
      </c>
      <c r="L36" t="s">
        <v>40</v>
      </c>
      <c r="M36" s="1" t="b">
        <v>1</v>
      </c>
    </row>
    <row r="37" spans="1:13">
      <c r="A37" t="s">
        <v>251</v>
      </c>
      <c r="B37" t="s">
        <v>64</v>
      </c>
      <c r="C37" t="s">
        <v>43</v>
      </c>
      <c r="D37" t="s">
        <v>252</v>
      </c>
      <c r="E37">
        <v>34</v>
      </c>
      <c r="F37" t="s">
        <v>116</v>
      </c>
      <c r="G37" t="s">
        <v>18</v>
      </c>
      <c r="H37" t="s">
        <v>253</v>
      </c>
      <c r="I37">
        <v>10700</v>
      </c>
      <c r="J37" t="s">
        <v>254</v>
      </c>
      <c r="K37" t="s">
        <v>255</v>
      </c>
      <c r="L37" t="s">
        <v>31</v>
      </c>
      <c r="M37" s="1" t="b">
        <v>1</v>
      </c>
    </row>
    <row r="38" spans="1:13">
      <c r="A38" t="s">
        <v>256</v>
      </c>
      <c r="B38" t="s">
        <v>257</v>
      </c>
      <c r="C38" t="s">
        <v>121</v>
      </c>
      <c r="D38" t="s">
        <v>258</v>
      </c>
      <c r="E38">
        <v>26</v>
      </c>
      <c r="F38" t="s">
        <v>259</v>
      </c>
      <c r="G38" t="s">
        <v>18</v>
      </c>
      <c r="H38" t="s">
        <v>260</v>
      </c>
      <c r="I38">
        <v>18000</v>
      </c>
      <c r="J38" t="s">
        <v>261</v>
      </c>
      <c r="K38" t="s">
        <v>262</v>
      </c>
      <c r="L38" t="s">
        <v>31</v>
      </c>
      <c r="M38" s="1" t="b">
        <v>1</v>
      </c>
    </row>
    <row r="39" spans="1:13">
      <c r="A39" t="s">
        <v>263</v>
      </c>
      <c r="B39" t="s">
        <v>264</v>
      </c>
      <c r="C39" t="s">
        <v>106</v>
      </c>
      <c r="D39" t="s">
        <v>265</v>
      </c>
      <c r="F39" t="s">
        <v>266</v>
      </c>
      <c r="G39" t="s">
        <v>46</v>
      </c>
      <c r="H39" t="s">
        <v>267</v>
      </c>
      <c r="I39">
        <v>14900</v>
      </c>
      <c r="J39" t="s">
        <v>268</v>
      </c>
      <c r="K39" t="s">
        <v>269</v>
      </c>
      <c r="L39" t="s">
        <v>86</v>
      </c>
      <c r="M39" s="1" t="b">
        <v>1</v>
      </c>
    </row>
    <row r="40" spans="1:13">
      <c r="A40" t="s">
        <v>270</v>
      </c>
      <c r="B40" t="s">
        <v>271</v>
      </c>
      <c r="C40" t="s">
        <v>81</v>
      </c>
      <c r="D40" t="s">
        <v>272</v>
      </c>
      <c r="E40">
        <v>37</v>
      </c>
      <c r="F40" t="s">
        <v>273</v>
      </c>
      <c r="G40" t="s">
        <v>18</v>
      </c>
      <c r="H40" t="s">
        <v>274</v>
      </c>
      <c r="I40">
        <v>16700</v>
      </c>
      <c r="J40" t="s">
        <v>275</v>
      </c>
      <c r="K40" t="s">
        <v>276</v>
      </c>
      <c r="L40" t="s">
        <v>22</v>
      </c>
      <c r="M40" s="1" t="b">
        <v>0</v>
      </c>
    </row>
    <row r="41" spans="1:13">
      <c r="A41" t="s">
        <v>277</v>
      </c>
      <c r="B41" t="s">
        <v>278</v>
      </c>
      <c r="C41" t="s">
        <v>73</v>
      </c>
      <c r="D41" t="s">
        <v>279</v>
      </c>
      <c r="E41">
        <v>55</v>
      </c>
      <c r="F41" t="s">
        <v>280</v>
      </c>
      <c r="G41" t="s">
        <v>18</v>
      </c>
      <c r="H41" t="s">
        <v>281</v>
      </c>
      <c r="I41">
        <v>15400</v>
      </c>
      <c r="J41" t="s">
        <v>282</v>
      </c>
      <c r="K41" t="s">
        <v>283</v>
      </c>
      <c r="L41" t="s">
        <v>86</v>
      </c>
      <c r="M41" s="1" t="b">
        <v>1</v>
      </c>
    </row>
    <row r="42" spans="1:13">
      <c r="A42" t="s">
        <v>284</v>
      </c>
      <c r="B42" t="s">
        <v>42</v>
      </c>
      <c r="C42" t="s">
        <v>34</v>
      </c>
      <c r="D42" t="s">
        <v>139</v>
      </c>
      <c r="E42">
        <v>36</v>
      </c>
      <c r="F42" t="s">
        <v>280</v>
      </c>
      <c r="G42" t="s">
        <v>18</v>
      </c>
      <c r="H42" t="s">
        <v>285</v>
      </c>
      <c r="I42">
        <v>18700</v>
      </c>
      <c r="J42" t="s">
        <v>286</v>
      </c>
      <c r="K42" t="s">
        <v>287</v>
      </c>
      <c r="L42" t="s">
        <v>22</v>
      </c>
      <c r="M42" s="1" t="b">
        <v>1</v>
      </c>
    </row>
    <row r="43" spans="1:13">
      <c r="A43" t="s">
        <v>288</v>
      </c>
      <c r="B43" t="s">
        <v>289</v>
      </c>
      <c r="C43" t="s">
        <v>15</v>
      </c>
      <c r="D43" t="s">
        <v>290</v>
      </c>
      <c r="E43">
        <v>57</v>
      </c>
      <c r="F43" t="s">
        <v>291</v>
      </c>
      <c r="G43" t="s">
        <v>18</v>
      </c>
      <c r="H43" t="s">
        <v>292</v>
      </c>
      <c r="I43">
        <v>14100</v>
      </c>
      <c r="J43" t="s">
        <v>293</v>
      </c>
      <c r="K43" t="s">
        <v>294</v>
      </c>
      <c r="L43" t="s">
        <v>31</v>
      </c>
      <c r="M43" s="1" t="b">
        <v>0</v>
      </c>
    </row>
    <row r="44" spans="1:13">
      <c r="A44" t="s">
        <v>295</v>
      </c>
      <c r="B44" t="s">
        <v>296</v>
      </c>
      <c r="C44" t="s">
        <v>297</v>
      </c>
      <c r="D44" t="s">
        <v>298</v>
      </c>
      <c r="E44">
        <v>51</v>
      </c>
      <c r="F44" t="s">
        <v>299</v>
      </c>
      <c r="G44" t="s">
        <v>18</v>
      </c>
      <c r="H44" t="s">
        <v>300</v>
      </c>
      <c r="I44">
        <v>8400</v>
      </c>
      <c r="J44" t="s">
        <v>301</v>
      </c>
      <c r="K44" t="s">
        <v>302</v>
      </c>
      <c r="L44" t="s">
        <v>40</v>
      </c>
      <c r="M44" s="1" t="b">
        <v>1</v>
      </c>
    </row>
    <row r="45" spans="1:13">
      <c r="A45" t="s">
        <v>143</v>
      </c>
      <c r="B45" t="s">
        <v>24</v>
      </c>
      <c r="C45" t="s">
        <v>144</v>
      </c>
      <c r="D45" t="s">
        <v>145</v>
      </c>
      <c r="E45">
        <v>27</v>
      </c>
      <c r="F45" t="s">
        <v>146</v>
      </c>
      <c r="G45" t="s">
        <v>100</v>
      </c>
      <c r="H45" t="s">
        <v>147</v>
      </c>
      <c r="I45">
        <v>8000</v>
      </c>
      <c r="J45" t="s">
        <v>148</v>
      </c>
      <c r="K45" t="s">
        <v>149</v>
      </c>
      <c r="L45" t="s">
        <v>86</v>
      </c>
      <c r="M45" s="1" t="b">
        <v>1</v>
      </c>
    </row>
    <row r="46" spans="1:13">
      <c r="A46" t="s">
        <v>303</v>
      </c>
      <c r="B46" t="s">
        <v>33</v>
      </c>
      <c r="C46" t="s">
        <v>34</v>
      </c>
      <c r="D46" t="s">
        <v>35</v>
      </c>
      <c r="E46">
        <v>28</v>
      </c>
      <c r="F46" t="s">
        <v>146</v>
      </c>
      <c r="G46" t="s">
        <v>18</v>
      </c>
      <c r="H46" t="s">
        <v>304</v>
      </c>
      <c r="I46">
        <v>5000</v>
      </c>
      <c r="J46" t="s">
        <v>305</v>
      </c>
      <c r="K46" t="s">
        <v>306</v>
      </c>
      <c r="L46" t="s">
        <v>31</v>
      </c>
      <c r="M46" t="s">
        <v>307</v>
      </c>
    </row>
    <row r="47" spans="1:13">
      <c r="A47" t="s">
        <v>308</v>
      </c>
      <c r="B47" t="s">
        <v>309</v>
      </c>
      <c r="C47" t="s">
        <v>81</v>
      </c>
      <c r="D47" t="s">
        <v>310</v>
      </c>
      <c r="E47">
        <v>55</v>
      </c>
      <c r="F47" t="s">
        <v>214</v>
      </c>
      <c r="G47" t="s">
        <v>46</v>
      </c>
      <c r="H47" t="s">
        <v>311</v>
      </c>
      <c r="I47">
        <v>18200</v>
      </c>
      <c r="J47" t="s">
        <v>312</v>
      </c>
      <c r="K47" t="s">
        <v>313</v>
      </c>
      <c r="L47" t="s">
        <v>86</v>
      </c>
      <c r="M47" s="1" t="b">
        <v>1</v>
      </c>
    </row>
    <row r="48" spans="1:13">
      <c r="A48" t="s">
        <v>314</v>
      </c>
      <c r="B48" t="s">
        <v>14</v>
      </c>
      <c r="C48" t="s">
        <v>15</v>
      </c>
      <c r="D48" t="s">
        <v>16</v>
      </c>
      <c r="E48">
        <v>35</v>
      </c>
      <c r="F48" t="s">
        <v>45</v>
      </c>
      <c r="G48" t="s">
        <v>315</v>
      </c>
      <c r="H48" t="s">
        <v>316</v>
      </c>
      <c r="I48">
        <v>6000</v>
      </c>
      <c r="J48" t="s">
        <v>317</v>
      </c>
      <c r="K48" t="s">
        <v>318</v>
      </c>
      <c r="L48" t="s">
        <v>22</v>
      </c>
      <c r="M48" s="1" t="b">
        <v>0</v>
      </c>
    </row>
    <row r="49" spans="1:13">
      <c r="A49" t="s">
        <v>319</v>
      </c>
      <c r="B49" t="s">
        <v>257</v>
      </c>
      <c r="C49" t="s">
        <v>241</v>
      </c>
      <c r="D49" t="s">
        <v>320</v>
      </c>
      <c r="E49">
        <v>58</v>
      </c>
      <c r="F49" t="s">
        <v>321</v>
      </c>
      <c r="G49" t="s">
        <v>18</v>
      </c>
      <c r="H49" t="s">
        <v>322</v>
      </c>
      <c r="I49">
        <v>17900</v>
      </c>
      <c r="J49" t="s">
        <v>323</v>
      </c>
      <c r="K49" t="s">
        <v>324</v>
      </c>
      <c r="L49" t="s">
        <v>31</v>
      </c>
      <c r="M49" s="1" t="b">
        <v>0</v>
      </c>
    </row>
    <row r="50" spans="1:13">
      <c r="A50" t="s">
        <v>325</v>
      </c>
      <c r="B50" t="s">
        <v>296</v>
      </c>
      <c r="C50" t="s">
        <v>34</v>
      </c>
      <c r="D50" t="s">
        <v>326</v>
      </c>
      <c r="E50">
        <v>44</v>
      </c>
      <c r="F50" t="s">
        <v>327</v>
      </c>
      <c r="G50" t="s">
        <v>18</v>
      </c>
      <c r="H50" t="s">
        <v>328</v>
      </c>
      <c r="I50">
        <v>14600</v>
      </c>
      <c r="J50" t="s">
        <v>329</v>
      </c>
      <c r="K50" t="s">
        <v>330</v>
      </c>
      <c r="L50" t="s">
        <v>40</v>
      </c>
      <c r="M50" s="1" t="b">
        <v>0</v>
      </c>
    </row>
    <row r="51" spans="1:13">
      <c r="A51" t="s">
        <v>331</v>
      </c>
      <c r="B51" t="s">
        <v>25</v>
      </c>
      <c r="C51" t="s">
        <v>241</v>
      </c>
      <c r="D51" t="s">
        <v>332</v>
      </c>
      <c r="E51">
        <v>44</v>
      </c>
      <c r="F51" t="s">
        <v>36</v>
      </c>
      <c r="G51" t="s">
        <v>18</v>
      </c>
      <c r="H51" t="s">
        <v>333</v>
      </c>
      <c r="I51">
        <v>7600</v>
      </c>
      <c r="J51" t="s">
        <v>334</v>
      </c>
      <c r="K51" t="s">
        <v>335</v>
      </c>
      <c r="L51" t="s">
        <v>86</v>
      </c>
      <c r="M51" s="1" t="b">
        <v>1</v>
      </c>
    </row>
    <row r="52" spans="1:13">
      <c r="A52" t="s">
        <v>336</v>
      </c>
      <c r="B52" t="s">
        <v>219</v>
      </c>
      <c r="C52" t="s">
        <v>25</v>
      </c>
      <c r="D52" t="s">
        <v>220</v>
      </c>
      <c r="E52">
        <v>30</v>
      </c>
      <c r="F52" t="s">
        <v>280</v>
      </c>
      <c r="G52" t="s">
        <v>18</v>
      </c>
      <c r="H52" t="s">
        <v>337</v>
      </c>
      <c r="I52">
        <v>18200</v>
      </c>
      <c r="J52" t="s">
        <v>338</v>
      </c>
      <c r="K52" t="s">
        <v>339</v>
      </c>
      <c r="L52" t="s">
        <v>22</v>
      </c>
      <c r="M52" s="1" t="b">
        <v>1</v>
      </c>
    </row>
    <row r="53" spans="1:13">
      <c r="A53" t="s">
        <v>340</v>
      </c>
      <c r="B53" t="s">
        <v>113</v>
      </c>
      <c r="C53" t="s">
        <v>241</v>
      </c>
      <c r="D53" t="s">
        <v>242</v>
      </c>
      <c r="E53">
        <v>22</v>
      </c>
      <c r="F53" t="s">
        <v>146</v>
      </c>
      <c r="G53" t="s">
        <v>46</v>
      </c>
      <c r="H53" t="s">
        <v>341</v>
      </c>
      <c r="I53">
        <v>7200</v>
      </c>
      <c r="J53" t="s">
        <v>342</v>
      </c>
      <c r="K53" t="s">
        <v>343</v>
      </c>
      <c r="L53" t="s">
        <v>86</v>
      </c>
      <c r="M53" s="1" t="b">
        <v>0</v>
      </c>
    </row>
    <row r="54" spans="1:13">
      <c r="A54" t="s">
        <v>344</v>
      </c>
      <c r="B54" t="s">
        <v>113</v>
      </c>
      <c r="C54" t="s">
        <v>57</v>
      </c>
      <c r="D54" t="s">
        <v>345</v>
      </c>
      <c r="E54">
        <v>31</v>
      </c>
      <c r="F54" t="s">
        <v>231</v>
      </c>
      <c r="G54" t="s">
        <v>18</v>
      </c>
      <c r="H54" t="s">
        <v>346</v>
      </c>
      <c r="I54">
        <v>6300</v>
      </c>
      <c r="J54" t="s">
        <v>347</v>
      </c>
      <c r="K54" t="s">
        <v>348</v>
      </c>
      <c r="L54" t="s">
        <v>86</v>
      </c>
      <c r="M54" s="1" t="b">
        <v>1</v>
      </c>
    </row>
    <row r="55" spans="1:13">
      <c r="A55" t="s">
        <v>349</v>
      </c>
      <c r="B55" t="s">
        <v>350</v>
      </c>
      <c r="C55" t="s">
        <v>151</v>
      </c>
      <c r="D55" t="s">
        <v>351</v>
      </c>
      <c r="E55">
        <v>35</v>
      </c>
      <c r="F55" t="s">
        <v>352</v>
      </c>
      <c r="G55" t="s">
        <v>46</v>
      </c>
      <c r="H55" t="s">
        <v>353</v>
      </c>
      <c r="I55">
        <v>10800</v>
      </c>
      <c r="J55" t="s">
        <v>354</v>
      </c>
      <c r="K55" t="s">
        <v>355</v>
      </c>
      <c r="L55" t="s">
        <v>22</v>
      </c>
      <c r="M55" s="1" t="b">
        <v>0</v>
      </c>
    </row>
    <row r="56" spans="1:13">
      <c r="A56" t="s">
        <v>356</v>
      </c>
      <c r="B56" t="s">
        <v>357</v>
      </c>
      <c r="C56" t="s">
        <v>121</v>
      </c>
      <c r="D56" t="s">
        <v>358</v>
      </c>
      <c r="E56">
        <v>26</v>
      </c>
      <c r="F56" t="s">
        <v>36</v>
      </c>
      <c r="G56" t="s">
        <v>100</v>
      </c>
      <c r="H56" t="s">
        <v>359</v>
      </c>
      <c r="I56">
        <v>12500</v>
      </c>
      <c r="J56" t="s">
        <v>360</v>
      </c>
      <c r="K56" t="s">
        <v>361</v>
      </c>
      <c r="L56" t="s">
        <v>31</v>
      </c>
      <c r="M56" s="1" t="b">
        <v>0</v>
      </c>
    </row>
    <row r="57" spans="1:13">
      <c r="A57" t="s">
        <v>362</v>
      </c>
      <c r="B57" t="s">
        <v>88</v>
      </c>
      <c r="C57" t="s">
        <v>65</v>
      </c>
      <c r="D57" t="s">
        <v>363</v>
      </c>
      <c r="E57">
        <v>28</v>
      </c>
      <c r="F57" t="s">
        <v>364</v>
      </c>
      <c r="G57" t="s">
        <v>100</v>
      </c>
      <c r="H57" t="s">
        <v>365</v>
      </c>
      <c r="I57" t="s">
        <v>366</v>
      </c>
      <c r="J57" t="s">
        <v>367</v>
      </c>
      <c r="K57" t="s">
        <v>368</v>
      </c>
      <c r="L57" t="s">
        <v>86</v>
      </c>
      <c r="M57" s="1" t="b">
        <v>1</v>
      </c>
    </row>
    <row r="58" spans="1:13">
      <c r="A58" t="s">
        <v>369</v>
      </c>
      <c r="B58" t="s">
        <v>350</v>
      </c>
      <c r="C58" t="s">
        <v>370</v>
      </c>
      <c r="D58" t="s">
        <v>371</v>
      </c>
      <c r="E58">
        <v>53</v>
      </c>
      <c r="F58" t="s">
        <v>372</v>
      </c>
      <c r="G58" t="s">
        <v>100</v>
      </c>
      <c r="H58" t="s">
        <v>373</v>
      </c>
      <c r="I58">
        <v>5900</v>
      </c>
      <c r="J58" t="s">
        <v>374</v>
      </c>
      <c r="K58" t="s">
        <v>375</v>
      </c>
      <c r="L58" t="s">
        <v>86</v>
      </c>
      <c r="M58" s="1" t="b">
        <v>1</v>
      </c>
    </row>
    <row r="59" spans="1:13">
      <c r="A59" t="s">
        <v>376</v>
      </c>
      <c r="B59" t="s">
        <v>377</v>
      </c>
      <c r="C59" t="s">
        <v>114</v>
      </c>
      <c r="D59" t="s">
        <v>378</v>
      </c>
      <c r="E59">
        <v>47</v>
      </c>
      <c r="F59" t="s">
        <v>273</v>
      </c>
      <c r="G59" t="s">
        <v>18</v>
      </c>
      <c r="H59" t="s">
        <v>379</v>
      </c>
      <c r="I59">
        <v>13800</v>
      </c>
      <c r="J59" t="s">
        <v>380</v>
      </c>
      <c r="K59" t="s">
        <v>381</v>
      </c>
      <c r="L59" t="s">
        <v>86</v>
      </c>
      <c r="M59" s="1" t="b">
        <v>1</v>
      </c>
    </row>
    <row r="60" spans="1:13">
      <c r="A60" t="s">
        <v>382</v>
      </c>
      <c r="B60" t="s">
        <v>219</v>
      </c>
      <c r="C60" t="s">
        <v>241</v>
      </c>
      <c r="D60" t="s">
        <v>383</v>
      </c>
      <c r="E60">
        <v>50</v>
      </c>
      <c r="F60" t="s">
        <v>259</v>
      </c>
      <c r="G60" t="s">
        <v>18</v>
      </c>
      <c r="H60" t="s">
        <v>384</v>
      </c>
      <c r="I60">
        <v>15600</v>
      </c>
      <c r="J60" t="s">
        <v>385</v>
      </c>
      <c r="K60" t="s">
        <v>386</v>
      </c>
      <c r="L60" t="s">
        <v>387</v>
      </c>
      <c r="M60" s="1" t="b">
        <v>1</v>
      </c>
    </row>
    <row r="61" spans="1:13">
      <c r="A61" t="s">
        <v>388</v>
      </c>
      <c r="B61" t="s">
        <v>171</v>
      </c>
      <c r="C61" t="s">
        <v>144</v>
      </c>
      <c r="D61" t="s">
        <v>172</v>
      </c>
      <c r="E61">
        <v>35</v>
      </c>
      <c r="F61" t="s">
        <v>364</v>
      </c>
      <c r="G61" t="s">
        <v>46</v>
      </c>
      <c r="H61" t="s">
        <v>389</v>
      </c>
      <c r="I61">
        <v>16900</v>
      </c>
      <c r="J61" t="s">
        <v>390</v>
      </c>
      <c r="K61" t="s">
        <v>391</v>
      </c>
      <c r="L61" t="s">
        <v>86</v>
      </c>
      <c r="M61" s="1" t="b">
        <v>1</v>
      </c>
    </row>
    <row r="62" spans="1:13">
      <c r="A62" t="s">
        <v>392</v>
      </c>
      <c r="B62" t="s">
        <v>393</v>
      </c>
      <c r="C62" t="s">
        <v>15</v>
      </c>
      <c r="D62" t="s">
        <v>394</v>
      </c>
      <c r="E62">
        <v>45</v>
      </c>
      <c r="F62" t="s">
        <v>395</v>
      </c>
      <c r="G62" t="s">
        <v>46</v>
      </c>
      <c r="H62" t="s">
        <v>396</v>
      </c>
      <c r="I62">
        <v>13100</v>
      </c>
      <c r="J62" t="s">
        <v>397</v>
      </c>
      <c r="K62" t="s">
        <v>398</v>
      </c>
      <c r="L62" t="s">
        <v>40</v>
      </c>
      <c r="M62" s="1" t="b">
        <v>1</v>
      </c>
    </row>
    <row r="63" spans="1:13">
      <c r="A63" t="s">
        <v>399</v>
      </c>
      <c r="B63" t="s">
        <v>14</v>
      </c>
      <c r="C63" t="s">
        <v>73</v>
      </c>
      <c r="D63" t="s">
        <v>400</v>
      </c>
      <c r="E63">
        <v>35</v>
      </c>
      <c r="F63" t="s">
        <v>146</v>
      </c>
      <c r="G63" t="s">
        <v>18</v>
      </c>
      <c r="H63" t="s">
        <v>401</v>
      </c>
      <c r="I63">
        <v>14800</v>
      </c>
      <c r="J63" t="s">
        <v>402</v>
      </c>
      <c r="K63" t="s">
        <v>403</v>
      </c>
      <c r="L63" t="s">
        <v>40</v>
      </c>
    </row>
    <row r="64" spans="1:13">
      <c r="A64" t="s">
        <v>404</v>
      </c>
      <c r="B64" t="s">
        <v>357</v>
      </c>
      <c r="C64" t="s">
        <v>151</v>
      </c>
      <c r="D64" t="s">
        <v>405</v>
      </c>
      <c r="E64">
        <v>42</v>
      </c>
      <c r="F64" t="s">
        <v>321</v>
      </c>
      <c r="G64" t="s">
        <v>18</v>
      </c>
      <c r="H64" t="s">
        <v>406</v>
      </c>
      <c r="I64">
        <v>5600</v>
      </c>
      <c r="J64" t="s">
        <v>407</v>
      </c>
      <c r="K64" t="s">
        <v>408</v>
      </c>
      <c r="L64" t="s">
        <v>86</v>
      </c>
      <c r="M64" s="1" t="b">
        <v>0</v>
      </c>
    </row>
    <row r="65" spans="1:13">
      <c r="A65" t="s">
        <v>409</v>
      </c>
      <c r="B65" t="s">
        <v>309</v>
      </c>
      <c r="C65" t="s">
        <v>98</v>
      </c>
      <c r="D65" t="s">
        <v>410</v>
      </c>
      <c r="E65">
        <v>32</v>
      </c>
      <c r="F65" t="s">
        <v>280</v>
      </c>
      <c r="G65" t="s">
        <v>46</v>
      </c>
      <c r="H65" t="s">
        <v>411</v>
      </c>
      <c r="I65">
        <v>9900</v>
      </c>
      <c r="J65" t="s">
        <v>412</v>
      </c>
      <c r="K65" t="s">
        <v>413</v>
      </c>
      <c r="L65" t="s">
        <v>31</v>
      </c>
      <c r="M65" s="1" t="b">
        <v>1</v>
      </c>
    </row>
    <row r="66" spans="1:13">
      <c r="A66" t="s">
        <v>414</v>
      </c>
      <c r="B66" t="s">
        <v>296</v>
      </c>
      <c r="C66" t="s">
        <v>81</v>
      </c>
      <c r="D66" t="s">
        <v>415</v>
      </c>
      <c r="E66">
        <v>51</v>
      </c>
      <c r="F66" t="s">
        <v>291</v>
      </c>
      <c r="G66" t="s">
        <v>46</v>
      </c>
      <c r="H66" t="s">
        <v>416</v>
      </c>
      <c r="I66">
        <v>15600</v>
      </c>
      <c r="J66" t="s">
        <v>417</v>
      </c>
      <c r="K66" t="s">
        <v>418</v>
      </c>
      <c r="L66" t="s">
        <v>40</v>
      </c>
      <c r="M66" s="1" t="b">
        <v>1</v>
      </c>
    </row>
    <row r="67" spans="1:13">
      <c r="A67" t="s">
        <v>419</v>
      </c>
      <c r="B67" t="s">
        <v>264</v>
      </c>
      <c r="C67" t="s">
        <v>420</v>
      </c>
      <c r="D67" t="s">
        <v>421</v>
      </c>
      <c r="E67">
        <v>30</v>
      </c>
      <c r="F67" t="s">
        <v>422</v>
      </c>
      <c r="G67" t="s">
        <v>46</v>
      </c>
      <c r="H67" t="s">
        <v>423</v>
      </c>
      <c r="I67">
        <v>17000</v>
      </c>
      <c r="J67" t="s">
        <v>424</v>
      </c>
      <c r="K67" t="s">
        <v>425</v>
      </c>
      <c r="L67" t="s">
        <v>31</v>
      </c>
      <c r="M67" s="1" t="b">
        <v>1</v>
      </c>
    </row>
    <row r="68" spans="1:13">
      <c r="A68" t="s">
        <v>426</v>
      </c>
      <c r="B68" t="s">
        <v>289</v>
      </c>
      <c r="C68" t="s">
        <v>73</v>
      </c>
      <c r="D68" t="s">
        <v>427</v>
      </c>
      <c r="E68">
        <v>41</v>
      </c>
      <c r="F68" t="s">
        <v>36</v>
      </c>
      <c r="G68" t="s">
        <v>18</v>
      </c>
      <c r="H68" t="s">
        <v>428</v>
      </c>
      <c r="I68">
        <v>5500</v>
      </c>
      <c r="J68" t="s">
        <v>429</v>
      </c>
      <c r="K68" t="s">
        <v>430</v>
      </c>
      <c r="L68" t="s">
        <v>31</v>
      </c>
      <c r="M68" s="1" t="b">
        <v>0</v>
      </c>
    </row>
    <row r="69" spans="1:13">
      <c r="A69" t="s">
        <v>431</v>
      </c>
      <c r="B69" t="s">
        <v>88</v>
      </c>
      <c r="C69" t="s">
        <v>121</v>
      </c>
      <c r="D69" t="s">
        <v>432</v>
      </c>
      <c r="E69">
        <v>45</v>
      </c>
      <c r="F69" t="s">
        <v>433</v>
      </c>
      <c r="G69" t="s">
        <v>18</v>
      </c>
      <c r="H69" t="s">
        <v>434</v>
      </c>
      <c r="I69">
        <v>14100</v>
      </c>
      <c r="J69" t="s">
        <v>435</v>
      </c>
      <c r="K69" t="s">
        <v>436</v>
      </c>
      <c r="L69" t="s">
        <v>86</v>
      </c>
      <c r="M69" s="1" t="b">
        <v>0</v>
      </c>
    </row>
    <row r="70" spans="1:13">
      <c r="A70" t="s">
        <v>437</v>
      </c>
      <c r="B70" t="s">
        <v>42</v>
      </c>
      <c r="C70" t="s">
        <v>43</v>
      </c>
      <c r="D70" t="s">
        <v>44</v>
      </c>
      <c r="E70">
        <v>25</v>
      </c>
      <c r="F70" t="s">
        <v>438</v>
      </c>
      <c r="G70" t="s">
        <v>18</v>
      </c>
      <c r="H70" t="s">
        <v>439</v>
      </c>
      <c r="I70">
        <v>8000</v>
      </c>
      <c r="J70" t="s">
        <v>440</v>
      </c>
      <c r="K70" t="s">
        <v>441</v>
      </c>
      <c r="L70" t="s">
        <v>40</v>
      </c>
      <c r="M70" s="1" t="b">
        <v>0</v>
      </c>
    </row>
    <row r="71" spans="1:13">
      <c r="A71" t="s">
        <v>442</v>
      </c>
      <c r="B71" t="s">
        <v>171</v>
      </c>
      <c r="C71" t="s">
        <v>81</v>
      </c>
      <c r="D71" t="s">
        <v>443</v>
      </c>
      <c r="E71">
        <v>42</v>
      </c>
      <c r="F71" t="s">
        <v>321</v>
      </c>
      <c r="G71" t="s">
        <v>18</v>
      </c>
      <c r="H71" t="s">
        <v>444</v>
      </c>
      <c r="I71">
        <v>11100</v>
      </c>
      <c r="J71" t="s">
        <v>445</v>
      </c>
      <c r="K71" t="s">
        <v>446</v>
      </c>
      <c r="L71" t="s">
        <v>31</v>
      </c>
      <c r="M71" s="1" t="b">
        <v>1</v>
      </c>
    </row>
    <row r="72" spans="1:13">
      <c r="A72" t="s">
        <v>464</v>
      </c>
      <c r="B72" t="s">
        <v>469</v>
      </c>
      <c r="C72" t="s">
        <v>297</v>
      </c>
      <c r="D72" t="s">
        <v>466</v>
      </c>
      <c r="E72">
        <v>31</v>
      </c>
      <c r="F72" t="s">
        <v>146</v>
      </c>
      <c r="G72" t="s">
        <v>100</v>
      </c>
      <c r="H72">
        <v>46257</v>
      </c>
      <c r="I72">
        <v>47330</v>
      </c>
      <c r="J72" s="5" t="s">
        <v>467</v>
      </c>
      <c r="K72" t="s">
        <v>468</v>
      </c>
      <c r="L72" t="s">
        <v>86</v>
      </c>
      <c r="M72" s="1" t="b">
        <v>0</v>
      </c>
    </row>
  </sheetData>
  <phoneticPr fontId="4" type="noConversion"/>
  <hyperlinks>
    <hyperlink ref="J72" r:id="rId1" xr:uid="{FF8E9FCC-DD45-4635-A9CD-D12292F043ED}"/>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F8980-3991-46ED-8BDE-38B96821DF30}">
  <dimension ref="A1:O70"/>
  <sheetViews>
    <sheetView topLeftCell="A49" zoomScale="98" workbookViewId="0">
      <selection activeCell="J12" sqref="J12"/>
    </sheetView>
  </sheetViews>
  <sheetFormatPr defaultRowHeight="14"/>
  <cols>
    <col min="1" max="1" width="16.33203125" bestFit="1" customWidth="1"/>
    <col min="2" max="2" width="14.9140625" bestFit="1" customWidth="1"/>
    <col min="3" max="3" width="14.83203125" bestFit="1" customWidth="1"/>
    <col min="4" max="4" width="8.4140625" bestFit="1" customWidth="1"/>
    <col min="5" max="5" width="15.1640625" bestFit="1" customWidth="1"/>
    <col min="6" max="6" width="11.1640625" bestFit="1" customWidth="1"/>
    <col min="7" max="7" width="10.6640625" bestFit="1" customWidth="1"/>
    <col min="8" max="8" width="13.6640625" bestFit="1" customWidth="1"/>
    <col min="9" max="9" width="10.33203125" bestFit="1" customWidth="1"/>
    <col min="10" max="10" width="28.25" bestFit="1" customWidth="1"/>
    <col min="11" max="11" width="15.75" bestFit="1" customWidth="1"/>
    <col min="12" max="12" width="22.4140625" bestFit="1" customWidth="1"/>
    <col min="13" max="13" width="17.4140625" bestFit="1" customWidth="1"/>
    <col min="14" max="14" width="13.9140625" bestFit="1" customWidth="1"/>
    <col min="15" max="15" width="18.75" bestFit="1" customWidth="1"/>
  </cols>
  <sheetData>
    <row r="1" spans="1:15" s="4" customFormat="1">
      <c r="A1" s="4" t="s">
        <v>0</v>
      </c>
      <c r="B1" s="4" t="s">
        <v>1</v>
      </c>
      <c r="C1" s="4" t="s">
        <v>2</v>
      </c>
      <c r="D1" s="4" t="s">
        <v>4</v>
      </c>
      <c r="E1" s="4" t="s">
        <v>447</v>
      </c>
      <c r="F1" s="4" t="s">
        <v>448</v>
      </c>
      <c r="G1" s="4" t="s">
        <v>6</v>
      </c>
      <c r="H1" s="4" t="s">
        <v>7</v>
      </c>
      <c r="I1" s="4" t="s">
        <v>8</v>
      </c>
      <c r="J1" s="4" t="s">
        <v>9</v>
      </c>
      <c r="K1" s="4" t="s">
        <v>10</v>
      </c>
      <c r="L1" s="4" t="s">
        <v>11</v>
      </c>
      <c r="M1" s="4" t="s">
        <v>12</v>
      </c>
      <c r="N1" s="4" t="s">
        <v>511</v>
      </c>
      <c r="O1" s="4" t="s">
        <v>512</v>
      </c>
    </row>
    <row r="2" spans="1:15">
      <c r="A2" t="s">
        <v>13</v>
      </c>
      <c r="B2" t="s">
        <v>14</v>
      </c>
      <c r="C2" t="s">
        <v>15</v>
      </c>
      <c r="D2">
        <v>26</v>
      </c>
      <c r="E2" t="s">
        <v>449</v>
      </c>
      <c r="F2" t="s">
        <v>450</v>
      </c>
      <c r="G2" t="s">
        <v>18</v>
      </c>
      <c r="H2" s="3">
        <v>44688</v>
      </c>
      <c r="I2">
        <v>13700</v>
      </c>
      <c r="J2" t="s">
        <v>20</v>
      </c>
      <c r="K2" t="s">
        <v>21</v>
      </c>
      <c r="L2" t="s">
        <v>22</v>
      </c>
      <c r="M2" t="b">
        <v>0</v>
      </c>
      <c r="N2" t="str">
        <f>IF(OR(CleanEmployeeData[[#This Row],[Status]]="Pending",CleanEmployeeData[[#This Row],[Performance_Score]]="Needs Improvement"),"Needs Attention","Normal")</f>
        <v>Needs Attention</v>
      </c>
      <c r="O2" t="str">
        <f>IF(AND(CleanEmployeeData[[#This Row],[Status]]="Active",CleanEmployeeData[[#This Row],[Performance_Score]]="Needs Improvement"),"Priority Review","No")</f>
        <v>Priority Review</v>
      </c>
    </row>
    <row r="3" spans="1:15">
      <c r="A3" t="s">
        <v>23</v>
      </c>
      <c r="B3" t="s">
        <v>24</v>
      </c>
      <c r="C3" t="s">
        <v>25</v>
      </c>
      <c r="D3">
        <v>48</v>
      </c>
      <c r="E3" t="s">
        <v>451</v>
      </c>
      <c r="F3" t="s">
        <v>452</v>
      </c>
      <c r="G3" t="s">
        <v>18</v>
      </c>
      <c r="H3" s="3">
        <v>43765</v>
      </c>
      <c r="I3">
        <v>13100</v>
      </c>
      <c r="J3" t="s">
        <v>29</v>
      </c>
      <c r="K3" t="s">
        <v>30</v>
      </c>
      <c r="L3" t="s">
        <v>31</v>
      </c>
      <c r="M3" t="b">
        <v>0</v>
      </c>
      <c r="N3" t="str">
        <f>IF(OR(CleanEmployeeData[[#This Row],[Status]]="Pending",CleanEmployeeData[[#This Row],[Performance_Score]]="Needs Improvement"),"Needs Attention","Normal")</f>
        <v>Normal</v>
      </c>
      <c r="O3" t="str">
        <f>IF(AND(CleanEmployeeData[[#This Row],[Status]]="Active",CleanEmployeeData[[#This Row],[Performance_Score]]="Needs Improvement"),"Priority Review","No")</f>
        <v>No</v>
      </c>
    </row>
    <row r="4" spans="1:15">
      <c r="A4" t="s">
        <v>32</v>
      </c>
      <c r="B4" t="s">
        <v>33</v>
      </c>
      <c r="C4" t="s">
        <v>34</v>
      </c>
      <c r="D4">
        <v>24</v>
      </c>
      <c r="E4" t="s">
        <v>453</v>
      </c>
      <c r="F4" t="s">
        <v>454</v>
      </c>
      <c r="G4" t="s">
        <v>18</v>
      </c>
      <c r="H4" s="3">
        <v>43874</v>
      </c>
      <c r="I4">
        <v>8000</v>
      </c>
      <c r="J4" t="s">
        <v>38</v>
      </c>
      <c r="K4" t="s">
        <v>39</v>
      </c>
      <c r="L4" t="s">
        <v>40</v>
      </c>
      <c r="M4" t="b">
        <v>1</v>
      </c>
      <c r="N4" t="str">
        <f>IF(OR(CleanEmployeeData[[#This Row],[Status]]="Pending",CleanEmployeeData[[#This Row],[Performance_Score]]="Needs Improvement"),"Needs Attention","Normal")</f>
        <v>Normal</v>
      </c>
      <c r="O4" t="str">
        <f>IF(AND(CleanEmployeeData[[#This Row],[Status]]="Active",CleanEmployeeData[[#This Row],[Performance_Score]]="Needs Improvement"),"Priority Review","No")</f>
        <v>No</v>
      </c>
    </row>
    <row r="5" spans="1:15">
      <c r="A5" t="s">
        <v>41</v>
      </c>
      <c r="B5" t="s">
        <v>42</v>
      </c>
      <c r="C5" t="s">
        <v>43</v>
      </c>
      <c r="D5">
        <v>26</v>
      </c>
      <c r="E5" t="s">
        <v>449</v>
      </c>
      <c r="F5" t="s">
        <v>455</v>
      </c>
      <c r="G5" t="s">
        <v>46</v>
      </c>
      <c r="H5" s="3">
        <v>45218</v>
      </c>
      <c r="I5">
        <v>16100</v>
      </c>
      <c r="J5" t="s">
        <v>48</v>
      </c>
      <c r="K5" t="s">
        <v>49</v>
      </c>
      <c r="L5" t="s">
        <v>40</v>
      </c>
      <c r="M5" t="b">
        <v>0</v>
      </c>
      <c r="N5" t="str">
        <f>IF(OR(CleanEmployeeData[[#This Row],[Status]]="Pending",CleanEmployeeData[[#This Row],[Performance_Score]]="Needs Improvement"),"Needs Attention","Normal")</f>
        <v>Normal</v>
      </c>
      <c r="O5" t="str">
        <f>IF(AND(CleanEmployeeData[[#This Row],[Status]]="Active",CleanEmployeeData[[#This Row],[Performance_Score]]="Needs Improvement"),"Priority Review","No")</f>
        <v>No</v>
      </c>
    </row>
    <row r="6" spans="1:15">
      <c r="A6" t="s">
        <v>50</v>
      </c>
      <c r="B6" t="s">
        <v>51</v>
      </c>
      <c r="C6" t="s">
        <v>15</v>
      </c>
      <c r="D6">
        <v>32</v>
      </c>
      <c r="E6" t="s">
        <v>456</v>
      </c>
      <c r="F6" t="s">
        <v>452</v>
      </c>
      <c r="G6" t="s">
        <v>18</v>
      </c>
      <c r="H6" s="3">
        <v>44966</v>
      </c>
      <c r="I6">
        <v>6500</v>
      </c>
      <c r="J6" t="s">
        <v>55</v>
      </c>
      <c r="K6" t="s">
        <v>56</v>
      </c>
      <c r="L6" t="s">
        <v>31</v>
      </c>
      <c r="M6" t="b">
        <v>1</v>
      </c>
      <c r="N6" t="str">
        <f>IF(OR(CleanEmployeeData[[#This Row],[Status]]="Pending",CleanEmployeeData[[#This Row],[Performance_Score]]="Needs Improvement"),"Needs Attention","Normal")</f>
        <v>Normal</v>
      </c>
      <c r="O6" t="str">
        <f>IF(AND(CleanEmployeeData[[#This Row],[Status]]="Active",CleanEmployeeData[[#This Row],[Performance_Score]]="Needs Improvement"),"Priority Review","No")</f>
        <v>No</v>
      </c>
    </row>
    <row r="7" spans="1:15">
      <c r="A7" t="s">
        <v>63</v>
      </c>
      <c r="B7" t="s">
        <v>64</v>
      </c>
      <c r="C7" t="s">
        <v>65</v>
      </c>
      <c r="D7">
        <v>40</v>
      </c>
      <c r="E7" t="s">
        <v>453</v>
      </c>
      <c r="F7" t="s">
        <v>457</v>
      </c>
      <c r="G7" t="s">
        <v>18</v>
      </c>
      <c r="H7" s="3"/>
      <c r="I7">
        <v>14700</v>
      </c>
      <c r="J7" t="s">
        <v>69</v>
      </c>
      <c r="K7" t="s">
        <v>70</v>
      </c>
      <c r="L7" t="s">
        <v>31</v>
      </c>
      <c r="M7" t="b">
        <v>0</v>
      </c>
      <c r="N7" t="str">
        <f>IF(OR(CleanEmployeeData[[#This Row],[Status]]="Pending",CleanEmployeeData[[#This Row],[Performance_Score]]="Needs Improvement"),"Needs Attention","Normal")</f>
        <v>Normal</v>
      </c>
      <c r="O7" t="str">
        <f>IF(AND(CleanEmployeeData[[#This Row],[Status]]="Active",CleanEmployeeData[[#This Row],[Performance_Score]]="Needs Improvement"),"Priority Review","No")</f>
        <v>No</v>
      </c>
    </row>
    <row r="8" spans="1:15">
      <c r="A8" t="s">
        <v>71</v>
      </c>
      <c r="B8" t="s">
        <v>72</v>
      </c>
      <c r="C8" t="s">
        <v>73</v>
      </c>
      <c r="D8">
        <v>43</v>
      </c>
      <c r="E8" t="s">
        <v>458</v>
      </c>
      <c r="F8" t="s">
        <v>457</v>
      </c>
      <c r="G8" t="s">
        <v>18</v>
      </c>
      <c r="H8" s="3"/>
      <c r="J8" t="s">
        <v>78</v>
      </c>
      <c r="K8" t="s">
        <v>79</v>
      </c>
      <c r="L8" t="s">
        <v>31</v>
      </c>
      <c r="M8" t="b">
        <v>1</v>
      </c>
      <c r="N8" t="str">
        <f>IF(OR(CleanEmployeeData[[#This Row],[Status]]="Pending",CleanEmployeeData[[#This Row],[Performance_Score]]="Needs Improvement"),"Needs Attention","Normal")</f>
        <v>Normal</v>
      </c>
      <c r="O8" t="str">
        <f>IF(AND(CleanEmployeeData[[#This Row],[Status]]="Active",CleanEmployeeData[[#This Row],[Performance_Score]]="Needs Improvement"),"Priority Review","No")</f>
        <v>No</v>
      </c>
    </row>
    <row r="9" spans="1:15">
      <c r="A9" t="s">
        <v>80</v>
      </c>
      <c r="B9" t="s">
        <v>42</v>
      </c>
      <c r="C9" t="s">
        <v>81</v>
      </c>
      <c r="D9">
        <v>39</v>
      </c>
      <c r="E9" t="s">
        <v>451</v>
      </c>
      <c r="F9" t="s">
        <v>452</v>
      </c>
      <c r="G9" t="s">
        <v>18</v>
      </c>
      <c r="H9" s="3">
        <v>45696</v>
      </c>
      <c r="I9">
        <v>12100</v>
      </c>
      <c r="J9" t="s">
        <v>84</v>
      </c>
      <c r="K9" t="s">
        <v>85</v>
      </c>
      <c r="L9" t="s">
        <v>86</v>
      </c>
      <c r="M9" t="b">
        <v>0</v>
      </c>
      <c r="N9" t="str">
        <f>IF(OR(CleanEmployeeData[[#This Row],[Status]]="Pending",CleanEmployeeData[[#This Row],[Performance_Score]]="Needs Improvement"),"Needs Attention","Normal")</f>
        <v>Normal</v>
      </c>
      <c r="O9" t="str">
        <f>IF(AND(CleanEmployeeData[[#This Row],[Status]]="Active",CleanEmployeeData[[#This Row],[Performance_Score]]="Needs Improvement"),"Priority Review","No")</f>
        <v>No</v>
      </c>
    </row>
    <row r="10" spans="1:15">
      <c r="A10" t="s">
        <v>87</v>
      </c>
      <c r="B10" t="s">
        <v>88</v>
      </c>
      <c r="C10" t="s">
        <v>89</v>
      </c>
      <c r="D10">
        <v>43</v>
      </c>
      <c r="E10" t="s">
        <v>451</v>
      </c>
      <c r="F10" t="s">
        <v>454</v>
      </c>
      <c r="G10" t="s">
        <v>18</v>
      </c>
      <c r="H10" s="3"/>
      <c r="I10">
        <v>6200</v>
      </c>
      <c r="J10" t="s">
        <v>94</v>
      </c>
      <c r="K10" t="s">
        <v>95</v>
      </c>
      <c r="L10" t="s">
        <v>31</v>
      </c>
      <c r="M10" t="b">
        <v>1</v>
      </c>
      <c r="N10" t="str">
        <f>IF(OR(CleanEmployeeData[[#This Row],[Status]]="Pending",CleanEmployeeData[[#This Row],[Performance_Score]]="Needs Improvement"),"Needs Attention","Normal")</f>
        <v>Normal</v>
      </c>
      <c r="O10" t="str">
        <f>IF(AND(CleanEmployeeData[[#This Row],[Status]]="Active",CleanEmployeeData[[#This Row],[Performance_Score]]="Needs Improvement"),"Priority Review","No")</f>
        <v>No</v>
      </c>
    </row>
    <row r="11" spans="1:15">
      <c r="A11" t="s">
        <v>96</v>
      </c>
      <c r="B11" t="s">
        <v>97</v>
      </c>
      <c r="C11" t="s">
        <v>98</v>
      </c>
      <c r="D11">
        <v>56</v>
      </c>
      <c r="E11" t="s">
        <v>451</v>
      </c>
      <c r="F11" t="s">
        <v>454</v>
      </c>
      <c r="G11" t="s">
        <v>100</v>
      </c>
      <c r="H11" s="3">
        <v>43652</v>
      </c>
      <c r="I11">
        <v>5400</v>
      </c>
      <c r="J11" t="s">
        <v>102</v>
      </c>
      <c r="K11" t="s">
        <v>103</v>
      </c>
      <c r="L11" t="s">
        <v>31</v>
      </c>
      <c r="M11" t="b">
        <v>0</v>
      </c>
      <c r="N11" t="str">
        <f>IF(OR(CleanEmployeeData[[#This Row],[Status]]="Pending",CleanEmployeeData[[#This Row],[Performance_Score]]="Needs Improvement"),"Needs Attention","Normal")</f>
        <v>Needs Attention</v>
      </c>
      <c r="O11" t="str">
        <f>IF(AND(CleanEmployeeData[[#This Row],[Status]]="Active",CleanEmployeeData[[#This Row],[Performance_Score]]="Needs Improvement"),"Priority Review","No")</f>
        <v>No</v>
      </c>
    </row>
    <row r="12" spans="1:15">
      <c r="A12" t="s">
        <v>105</v>
      </c>
      <c r="B12" t="s">
        <v>33</v>
      </c>
      <c r="C12" t="s">
        <v>106</v>
      </c>
      <c r="E12" t="s">
        <v>459</v>
      </c>
      <c r="F12" t="s">
        <v>460</v>
      </c>
      <c r="G12" t="s">
        <v>18</v>
      </c>
      <c r="H12" s="3"/>
      <c r="I12">
        <v>17000</v>
      </c>
      <c r="J12" t="s">
        <v>110</v>
      </c>
      <c r="K12" t="s">
        <v>111</v>
      </c>
      <c r="L12" t="s">
        <v>40</v>
      </c>
      <c r="M12" t="b">
        <v>0</v>
      </c>
      <c r="N12" t="str">
        <f>IF(OR(CleanEmployeeData[[#This Row],[Status]]="Pending",CleanEmployeeData[[#This Row],[Performance_Score]]="Needs Improvement"),"Needs Attention","Normal")</f>
        <v>Normal</v>
      </c>
      <c r="O12" t="str">
        <f>IF(AND(CleanEmployeeData[[#This Row],[Status]]="Active",CleanEmployeeData[[#This Row],[Performance_Score]]="Needs Improvement"),"Priority Review","No")</f>
        <v>No</v>
      </c>
    </row>
    <row r="13" spans="1:15">
      <c r="A13" t="s">
        <v>112</v>
      </c>
      <c r="B13" t="s">
        <v>113</v>
      </c>
      <c r="C13" t="s">
        <v>114</v>
      </c>
      <c r="D13">
        <v>52</v>
      </c>
      <c r="E13" t="s">
        <v>461</v>
      </c>
      <c r="F13" t="s">
        <v>457</v>
      </c>
      <c r="G13" t="s">
        <v>18</v>
      </c>
      <c r="H13" s="3"/>
      <c r="I13">
        <v>6000</v>
      </c>
      <c r="J13" t="s">
        <v>118</v>
      </c>
      <c r="K13" t="s">
        <v>119</v>
      </c>
      <c r="L13" t="s">
        <v>86</v>
      </c>
      <c r="M13" t="b">
        <v>1</v>
      </c>
      <c r="N13" t="str">
        <f>IF(OR(CleanEmployeeData[[#This Row],[Status]]="Pending",CleanEmployeeData[[#This Row],[Performance_Score]]="Needs Improvement"),"Needs Attention","Normal")</f>
        <v>Normal</v>
      </c>
      <c r="O13" t="str">
        <f>IF(AND(CleanEmployeeData[[#This Row],[Status]]="Active",CleanEmployeeData[[#This Row],[Performance_Score]]="Needs Improvement"),"Priority Review","No")</f>
        <v>No</v>
      </c>
    </row>
    <row r="14" spans="1:15">
      <c r="A14" t="s">
        <v>120</v>
      </c>
      <c r="B14" t="s">
        <v>121</v>
      </c>
      <c r="C14" t="s">
        <v>81</v>
      </c>
      <c r="D14">
        <v>28</v>
      </c>
      <c r="E14" t="s">
        <v>462</v>
      </c>
      <c r="F14" t="s">
        <v>460</v>
      </c>
      <c r="G14" t="s">
        <v>18</v>
      </c>
      <c r="H14" s="3">
        <v>45903</v>
      </c>
      <c r="I14">
        <v>16600</v>
      </c>
      <c r="J14" t="s">
        <v>125</v>
      </c>
      <c r="K14" t="s">
        <v>126</v>
      </c>
      <c r="L14" t="s">
        <v>22</v>
      </c>
      <c r="M14" t="b">
        <v>0</v>
      </c>
      <c r="N14" t="str">
        <f>IF(OR(CleanEmployeeData[[#This Row],[Status]]="Pending",CleanEmployeeData[[#This Row],[Performance_Score]]="Needs Improvement"),"Needs Attention","Normal")</f>
        <v>Needs Attention</v>
      </c>
      <c r="O14" t="str">
        <f>IF(AND(CleanEmployeeData[[#This Row],[Status]]="Active",CleanEmployeeData[[#This Row],[Performance_Score]]="Needs Improvement"),"Priority Review","No")</f>
        <v>Priority Review</v>
      </c>
    </row>
    <row r="15" spans="1:15">
      <c r="A15" t="s">
        <v>127</v>
      </c>
      <c r="B15" t="s">
        <v>24</v>
      </c>
      <c r="C15" t="s">
        <v>164</v>
      </c>
      <c r="D15">
        <v>52</v>
      </c>
      <c r="E15" t="s">
        <v>449</v>
      </c>
      <c r="F15" t="s">
        <v>455</v>
      </c>
      <c r="G15" t="s">
        <v>18</v>
      </c>
      <c r="H15" s="3">
        <v>43689</v>
      </c>
      <c r="I15">
        <v>9800</v>
      </c>
      <c r="J15" t="s">
        <v>131</v>
      </c>
      <c r="K15" t="s">
        <v>132</v>
      </c>
      <c r="L15" t="s">
        <v>31</v>
      </c>
      <c r="M15" t="b">
        <v>0</v>
      </c>
      <c r="N15" t="str">
        <f>IF(OR(CleanEmployeeData[[#This Row],[Status]]="Pending",CleanEmployeeData[[#This Row],[Performance_Score]]="Needs Improvement"),"Needs Attention","Normal")</f>
        <v>Normal</v>
      </c>
      <c r="O15" t="str">
        <f>IF(AND(CleanEmployeeData[[#This Row],[Status]]="Active",CleanEmployeeData[[#This Row],[Performance_Score]]="Needs Improvement"),"Priority Review","No")</f>
        <v>No</v>
      </c>
    </row>
    <row r="16" spans="1:15">
      <c r="A16" t="s">
        <v>133</v>
      </c>
      <c r="B16" t="s">
        <v>97</v>
      </c>
      <c r="C16" t="s">
        <v>89</v>
      </c>
      <c r="D16">
        <v>53</v>
      </c>
      <c r="E16" t="s">
        <v>449</v>
      </c>
      <c r="F16" t="s">
        <v>455</v>
      </c>
      <c r="G16" t="s">
        <v>18</v>
      </c>
      <c r="H16" s="3">
        <v>44871</v>
      </c>
      <c r="I16">
        <v>8800</v>
      </c>
      <c r="J16" t="s">
        <v>136</v>
      </c>
      <c r="K16" t="s">
        <v>137</v>
      </c>
      <c r="L16" t="s">
        <v>31</v>
      </c>
      <c r="M16" t="b">
        <v>1</v>
      </c>
      <c r="N16" t="str">
        <f>IF(OR(CleanEmployeeData[[#This Row],[Status]]="Pending",CleanEmployeeData[[#This Row],[Performance_Score]]="Needs Improvement"),"Needs Attention","Normal")</f>
        <v>Normal</v>
      </c>
      <c r="O16" t="str">
        <f>IF(AND(CleanEmployeeData[[#This Row],[Status]]="Active",CleanEmployeeData[[#This Row],[Performance_Score]]="Needs Improvement"),"Priority Review","No")</f>
        <v>No</v>
      </c>
    </row>
    <row r="17" spans="1:15">
      <c r="A17" t="s">
        <v>138</v>
      </c>
      <c r="B17" t="s">
        <v>42</v>
      </c>
      <c r="C17" t="s">
        <v>34</v>
      </c>
      <c r="D17">
        <v>37</v>
      </c>
      <c r="E17" t="s">
        <v>449</v>
      </c>
      <c r="F17" t="s">
        <v>450</v>
      </c>
      <c r="G17" t="s">
        <v>46</v>
      </c>
      <c r="H17" s="3">
        <v>44653</v>
      </c>
      <c r="I17">
        <v>18700</v>
      </c>
      <c r="J17" t="s">
        <v>141</v>
      </c>
      <c r="K17" t="s">
        <v>142</v>
      </c>
      <c r="L17" t="s">
        <v>31</v>
      </c>
      <c r="M17" t="b">
        <v>1</v>
      </c>
      <c r="N17" t="str">
        <f>IF(OR(CleanEmployeeData[[#This Row],[Status]]="Pending",CleanEmployeeData[[#This Row],[Performance_Score]]="Needs Improvement"),"Needs Attention","Normal")</f>
        <v>Normal</v>
      </c>
      <c r="O17" t="str">
        <f>IF(AND(CleanEmployeeData[[#This Row],[Status]]="Active",CleanEmployeeData[[#This Row],[Performance_Score]]="Needs Improvement"),"Priority Review","No")</f>
        <v>No</v>
      </c>
    </row>
    <row r="18" spans="1:15">
      <c r="A18" t="s">
        <v>143</v>
      </c>
      <c r="B18" t="s">
        <v>24</v>
      </c>
      <c r="C18" t="s">
        <v>144</v>
      </c>
      <c r="D18">
        <v>27</v>
      </c>
      <c r="E18" t="s">
        <v>456</v>
      </c>
      <c r="F18" t="s">
        <v>450</v>
      </c>
      <c r="G18" t="s">
        <v>100</v>
      </c>
      <c r="H18" s="3">
        <v>43336</v>
      </c>
      <c r="I18">
        <v>8000</v>
      </c>
      <c r="J18" t="s">
        <v>148</v>
      </c>
      <c r="K18" t="s">
        <v>149</v>
      </c>
      <c r="L18" t="s">
        <v>86</v>
      </c>
      <c r="M18" t="b">
        <v>1</v>
      </c>
      <c r="N18" t="str">
        <f>IF(OR(CleanEmployeeData[[#This Row],[Status]]="Pending",CleanEmployeeData[[#This Row],[Performance_Score]]="Needs Improvement"),"Needs Attention","Normal")</f>
        <v>Needs Attention</v>
      </c>
      <c r="O18" t="str">
        <f>IF(AND(CleanEmployeeData[[#This Row],[Status]]="Active",CleanEmployeeData[[#This Row],[Performance_Score]]="Needs Improvement"),"Priority Review","No")</f>
        <v>No</v>
      </c>
    </row>
    <row r="19" spans="1:15">
      <c r="A19" t="s">
        <v>150</v>
      </c>
      <c r="B19" t="s">
        <v>24</v>
      </c>
      <c r="C19" t="s">
        <v>151</v>
      </c>
      <c r="D19">
        <v>49</v>
      </c>
      <c r="E19" t="s">
        <v>453</v>
      </c>
      <c r="F19" t="s">
        <v>450</v>
      </c>
      <c r="G19" t="s">
        <v>18</v>
      </c>
      <c r="H19" s="3">
        <v>44784</v>
      </c>
      <c r="I19">
        <v>11400</v>
      </c>
      <c r="J19" t="s">
        <v>154</v>
      </c>
      <c r="K19" t="s">
        <v>155</v>
      </c>
      <c r="L19" t="s">
        <v>86</v>
      </c>
      <c r="M19" t="b">
        <v>1</v>
      </c>
      <c r="N19" t="str">
        <f>IF(OR(CleanEmployeeData[[#This Row],[Status]]="Pending",CleanEmployeeData[[#This Row],[Performance_Score]]="Needs Improvement"),"Needs Attention","Normal")</f>
        <v>Normal</v>
      </c>
      <c r="O19" t="str">
        <f>IF(AND(CleanEmployeeData[[#This Row],[Status]]="Active",CleanEmployeeData[[#This Row],[Performance_Score]]="Needs Improvement"),"Priority Review","No")</f>
        <v>No</v>
      </c>
    </row>
    <row r="20" spans="1:15">
      <c r="A20" t="s">
        <v>156</v>
      </c>
      <c r="B20" t="s">
        <v>51</v>
      </c>
      <c r="C20" t="s">
        <v>73</v>
      </c>
      <c r="D20">
        <v>45</v>
      </c>
      <c r="E20" t="s">
        <v>462</v>
      </c>
      <c r="F20" t="s">
        <v>457</v>
      </c>
      <c r="G20" t="s">
        <v>18</v>
      </c>
      <c r="H20" s="3">
        <v>44800</v>
      </c>
      <c r="I20">
        <v>12600</v>
      </c>
      <c r="J20" t="s">
        <v>160</v>
      </c>
      <c r="K20" t="s">
        <v>161</v>
      </c>
      <c r="L20" t="s">
        <v>86</v>
      </c>
      <c r="M20" t="b">
        <v>1</v>
      </c>
      <c r="N20" t="str">
        <f>IF(OR(CleanEmployeeData[[#This Row],[Status]]="Pending",CleanEmployeeData[[#This Row],[Performance_Score]]="Needs Improvement"),"Needs Attention","Normal")</f>
        <v>Normal</v>
      </c>
      <c r="O20" t="str">
        <f>IF(AND(CleanEmployeeData[[#This Row],[Status]]="Active",CleanEmployeeData[[#This Row],[Performance_Score]]="Needs Improvement"),"Priority Review","No")</f>
        <v>No</v>
      </c>
    </row>
    <row r="21" spans="1:15">
      <c r="A21" t="s">
        <v>162</v>
      </c>
      <c r="B21" t="s">
        <v>163</v>
      </c>
      <c r="C21" t="s">
        <v>164</v>
      </c>
      <c r="D21">
        <v>54</v>
      </c>
      <c r="E21" t="s">
        <v>459</v>
      </c>
      <c r="F21" t="s">
        <v>450</v>
      </c>
      <c r="G21" t="s">
        <v>18</v>
      </c>
      <c r="H21" s="3">
        <v>44676</v>
      </c>
      <c r="I21">
        <v>15200</v>
      </c>
      <c r="J21" t="s">
        <v>168</v>
      </c>
      <c r="K21" t="s">
        <v>169</v>
      </c>
      <c r="L21" t="s">
        <v>22</v>
      </c>
      <c r="M21" t="b">
        <v>0</v>
      </c>
      <c r="N21" t="str">
        <f>IF(OR(CleanEmployeeData[[#This Row],[Status]]="Pending",CleanEmployeeData[[#This Row],[Performance_Score]]="Needs Improvement"),"Needs Attention","Normal")</f>
        <v>Needs Attention</v>
      </c>
      <c r="O21" t="str">
        <f>IF(AND(CleanEmployeeData[[#This Row],[Status]]="Active",CleanEmployeeData[[#This Row],[Performance_Score]]="Needs Improvement"),"Priority Review","No")</f>
        <v>Priority Review</v>
      </c>
    </row>
    <row r="22" spans="1:15">
      <c r="A22" t="s">
        <v>170</v>
      </c>
      <c r="B22" t="s">
        <v>171</v>
      </c>
      <c r="C22" t="s">
        <v>144</v>
      </c>
      <c r="D22">
        <v>34</v>
      </c>
      <c r="E22" t="s">
        <v>462</v>
      </c>
      <c r="F22" t="s">
        <v>460</v>
      </c>
      <c r="G22" t="s">
        <v>18</v>
      </c>
      <c r="H22" s="3">
        <v>43501</v>
      </c>
      <c r="I22">
        <v>17200</v>
      </c>
      <c r="J22" t="s">
        <v>174</v>
      </c>
      <c r="K22" t="s">
        <v>175</v>
      </c>
      <c r="L22" t="s">
        <v>31</v>
      </c>
      <c r="M22" t="b">
        <v>1</v>
      </c>
      <c r="N22" t="str">
        <f>IF(OR(CleanEmployeeData[[#This Row],[Status]]="Pending",CleanEmployeeData[[#This Row],[Performance_Score]]="Needs Improvement"),"Needs Attention","Normal")</f>
        <v>Normal</v>
      </c>
      <c r="O22" t="str">
        <f>IF(AND(CleanEmployeeData[[#This Row],[Status]]="Active",CleanEmployeeData[[#This Row],[Performance_Score]]="Needs Improvement"),"Priority Review","No")</f>
        <v>No</v>
      </c>
    </row>
    <row r="23" spans="1:15">
      <c r="A23" t="s">
        <v>176</v>
      </c>
      <c r="B23" t="s">
        <v>97</v>
      </c>
      <c r="C23" t="s">
        <v>25</v>
      </c>
      <c r="D23">
        <v>55</v>
      </c>
      <c r="E23" t="s">
        <v>451</v>
      </c>
      <c r="F23" t="s">
        <v>457</v>
      </c>
      <c r="G23" t="s">
        <v>18</v>
      </c>
      <c r="H23" s="3">
        <v>45730</v>
      </c>
      <c r="I23">
        <v>8900</v>
      </c>
      <c r="J23" t="s">
        <v>180</v>
      </c>
      <c r="K23" t="s">
        <v>181</v>
      </c>
      <c r="L23" t="s">
        <v>22</v>
      </c>
      <c r="M23" t="b">
        <v>1</v>
      </c>
      <c r="N23" t="str">
        <f>IF(OR(CleanEmployeeData[[#This Row],[Status]]="Pending",CleanEmployeeData[[#This Row],[Performance_Score]]="Needs Improvement"),"Needs Attention","Normal")</f>
        <v>Needs Attention</v>
      </c>
      <c r="O23" t="str">
        <f>IF(AND(CleanEmployeeData[[#This Row],[Status]]="Active",CleanEmployeeData[[#This Row],[Performance_Score]]="Needs Improvement"),"Priority Review","No")</f>
        <v>Priority Review</v>
      </c>
    </row>
    <row r="24" spans="1:15">
      <c r="A24" t="s">
        <v>182</v>
      </c>
      <c r="B24" t="s">
        <v>25</v>
      </c>
      <c r="C24" t="s">
        <v>15</v>
      </c>
      <c r="D24">
        <v>56</v>
      </c>
      <c r="E24" t="s">
        <v>458</v>
      </c>
      <c r="F24" t="s">
        <v>450</v>
      </c>
      <c r="G24" t="s">
        <v>18</v>
      </c>
      <c r="H24" s="3">
        <v>43695</v>
      </c>
      <c r="I24">
        <v>12500</v>
      </c>
      <c r="J24" t="s">
        <v>186</v>
      </c>
      <c r="K24" t="s">
        <v>187</v>
      </c>
      <c r="L24" t="s">
        <v>86</v>
      </c>
      <c r="M24" t="b">
        <v>1</v>
      </c>
      <c r="N24" t="str">
        <f>IF(OR(CleanEmployeeData[[#This Row],[Status]]="Pending",CleanEmployeeData[[#This Row],[Performance_Score]]="Needs Improvement"),"Needs Attention","Normal")</f>
        <v>Normal</v>
      </c>
      <c r="O24" t="str">
        <f>IF(AND(CleanEmployeeData[[#This Row],[Status]]="Active",CleanEmployeeData[[#This Row],[Performance_Score]]="Needs Improvement"),"Priority Review","No")</f>
        <v>No</v>
      </c>
    </row>
    <row r="25" spans="1:15">
      <c r="A25" t="s">
        <v>189</v>
      </c>
      <c r="B25" t="s">
        <v>190</v>
      </c>
      <c r="C25" t="s">
        <v>81</v>
      </c>
      <c r="D25">
        <v>54</v>
      </c>
      <c r="E25" t="s">
        <v>458</v>
      </c>
      <c r="F25" t="s">
        <v>457</v>
      </c>
      <c r="G25" t="s">
        <v>18</v>
      </c>
      <c r="H25" s="3"/>
      <c r="I25">
        <v>17900</v>
      </c>
      <c r="J25" t="s">
        <v>193</v>
      </c>
      <c r="K25" t="s">
        <v>194</v>
      </c>
      <c r="L25" t="s">
        <v>31</v>
      </c>
      <c r="M25" t="b">
        <v>0</v>
      </c>
      <c r="N25" t="str">
        <f>IF(OR(CleanEmployeeData[[#This Row],[Status]]="Pending",CleanEmployeeData[[#This Row],[Performance_Score]]="Needs Improvement"),"Needs Attention","Normal")</f>
        <v>Normal</v>
      </c>
      <c r="O25" t="str">
        <f>IF(AND(CleanEmployeeData[[#This Row],[Status]]="Active",CleanEmployeeData[[#This Row],[Performance_Score]]="Needs Improvement"),"Priority Review","No")</f>
        <v>No</v>
      </c>
    </row>
    <row r="26" spans="1:15">
      <c r="A26" t="s">
        <v>195</v>
      </c>
      <c r="B26" t="s">
        <v>196</v>
      </c>
      <c r="C26" t="s">
        <v>81</v>
      </c>
      <c r="D26">
        <v>34</v>
      </c>
      <c r="E26" t="s">
        <v>451</v>
      </c>
      <c r="F26" t="s">
        <v>455</v>
      </c>
      <c r="G26" t="s">
        <v>46</v>
      </c>
      <c r="H26" s="3">
        <v>43907</v>
      </c>
      <c r="I26">
        <v>15400</v>
      </c>
      <c r="J26" t="s">
        <v>200</v>
      </c>
      <c r="K26" t="s">
        <v>201</v>
      </c>
      <c r="L26" t="s">
        <v>86</v>
      </c>
      <c r="M26" t="b">
        <v>0</v>
      </c>
      <c r="N26" t="str">
        <f>IF(OR(CleanEmployeeData[[#This Row],[Status]]="Pending",CleanEmployeeData[[#This Row],[Performance_Score]]="Needs Improvement"),"Needs Attention","Normal")</f>
        <v>Normal</v>
      </c>
      <c r="O26" t="str">
        <f>IF(AND(CleanEmployeeData[[#This Row],[Status]]="Active",CleanEmployeeData[[#This Row],[Performance_Score]]="Needs Improvement"),"Priority Review","No")</f>
        <v>No</v>
      </c>
    </row>
    <row r="27" spans="1:15">
      <c r="A27" t="s">
        <v>202</v>
      </c>
      <c r="B27" t="s">
        <v>51</v>
      </c>
      <c r="C27" t="s">
        <v>121</v>
      </c>
      <c r="D27">
        <v>37</v>
      </c>
      <c r="E27" t="s">
        <v>449</v>
      </c>
      <c r="F27" t="s">
        <v>455</v>
      </c>
      <c r="G27" t="s">
        <v>18</v>
      </c>
      <c r="H27" s="3">
        <v>46018</v>
      </c>
      <c r="I27">
        <v>14800</v>
      </c>
      <c r="J27" t="s">
        <v>205</v>
      </c>
      <c r="K27" t="s">
        <v>206</v>
      </c>
      <c r="L27" t="s">
        <v>31</v>
      </c>
      <c r="M27" t="b">
        <v>1</v>
      </c>
      <c r="N27" t="str">
        <f>IF(OR(CleanEmployeeData[[#This Row],[Status]]="Pending",CleanEmployeeData[[#This Row],[Performance_Score]]="Needs Improvement"),"Needs Attention","Normal")</f>
        <v>Normal</v>
      </c>
      <c r="O27" t="str">
        <f>IF(AND(CleanEmployeeData[[#This Row],[Status]]="Active",CleanEmployeeData[[#This Row],[Performance_Score]]="Needs Improvement"),"Priority Review","No")</f>
        <v>No</v>
      </c>
    </row>
    <row r="28" spans="1:15">
      <c r="A28" t="s">
        <v>207</v>
      </c>
      <c r="B28" t="s">
        <v>97</v>
      </c>
      <c r="C28" t="s">
        <v>89</v>
      </c>
      <c r="D28">
        <v>25</v>
      </c>
      <c r="E28" t="s">
        <v>453</v>
      </c>
      <c r="F28" t="s">
        <v>457</v>
      </c>
      <c r="G28" t="s">
        <v>18</v>
      </c>
      <c r="H28" s="3"/>
      <c r="I28">
        <v>14600</v>
      </c>
      <c r="J28" t="s">
        <v>210</v>
      </c>
      <c r="K28" t="s">
        <v>211</v>
      </c>
      <c r="L28" t="s">
        <v>22</v>
      </c>
      <c r="M28" t="b">
        <v>1</v>
      </c>
      <c r="N28" t="str">
        <f>IF(OR(CleanEmployeeData[[#This Row],[Status]]="Pending",CleanEmployeeData[[#This Row],[Performance_Score]]="Needs Improvement"),"Needs Attention","Normal")</f>
        <v>Needs Attention</v>
      </c>
      <c r="O28" t="str">
        <f>IF(AND(CleanEmployeeData[[#This Row],[Status]]="Active",CleanEmployeeData[[#This Row],[Performance_Score]]="Needs Improvement"),"Priority Review","No")</f>
        <v>Priority Review</v>
      </c>
    </row>
    <row r="29" spans="1:15">
      <c r="A29" t="s">
        <v>212</v>
      </c>
      <c r="B29" t="s">
        <v>171</v>
      </c>
      <c r="C29" t="s">
        <v>43</v>
      </c>
      <c r="D29">
        <v>38</v>
      </c>
      <c r="E29" t="s">
        <v>458</v>
      </c>
      <c r="F29" t="s">
        <v>455</v>
      </c>
      <c r="G29" t="s">
        <v>46</v>
      </c>
      <c r="H29" s="3">
        <v>44615</v>
      </c>
      <c r="I29">
        <v>5100</v>
      </c>
      <c r="J29" t="s">
        <v>216</v>
      </c>
      <c r="K29" t="s">
        <v>217</v>
      </c>
      <c r="L29" t="s">
        <v>22</v>
      </c>
      <c r="M29" t="b">
        <v>1</v>
      </c>
      <c r="N29" t="str">
        <f>IF(OR(CleanEmployeeData[[#This Row],[Status]]="Pending",CleanEmployeeData[[#This Row],[Performance_Score]]="Needs Improvement"),"Needs Attention","Normal")</f>
        <v>Needs Attention</v>
      </c>
      <c r="O29" t="str">
        <f>IF(AND(CleanEmployeeData[[#This Row],[Status]]="Active",CleanEmployeeData[[#This Row],[Performance_Score]]="Needs Improvement"),"Priority Review","No")</f>
        <v>No</v>
      </c>
    </row>
    <row r="30" spans="1:15">
      <c r="A30" t="s">
        <v>218</v>
      </c>
      <c r="B30" t="s">
        <v>219</v>
      </c>
      <c r="C30" t="s">
        <v>25</v>
      </c>
      <c r="D30">
        <v>59</v>
      </c>
      <c r="E30" t="s">
        <v>459</v>
      </c>
      <c r="F30" t="s">
        <v>450</v>
      </c>
      <c r="G30" t="s">
        <v>46</v>
      </c>
      <c r="H30" s="3">
        <v>44626</v>
      </c>
      <c r="J30" t="s">
        <v>222</v>
      </c>
      <c r="K30" t="s">
        <v>223</v>
      </c>
      <c r="L30" t="s">
        <v>86</v>
      </c>
      <c r="M30" t="b">
        <v>0</v>
      </c>
      <c r="N30" t="str">
        <f>IF(OR(CleanEmployeeData[[#This Row],[Status]]="Pending",CleanEmployeeData[[#This Row],[Performance_Score]]="Needs Improvement"),"Needs Attention","Normal")</f>
        <v>Normal</v>
      </c>
      <c r="O30" t="str">
        <f>IF(AND(CleanEmployeeData[[#This Row],[Status]]="Active",CleanEmployeeData[[#This Row],[Performance_Score]]="Needs Improvement"),"Priority Review","No")</f>
        <v>No</v>
      </c>
    </row>
    <row r="31" spans="1:15">
      <c r="A31" t="s">
        <v>224</v>
      </c>
      <c r="B31" t="s">
        <v>88</v>
      </c>
      <c r="C31" t="s">
        <v>81</v>
      </c>
      <c r="D31">
        <v>52</v>
      </c>
      <c r="E31" t="s">
        <v>451</v>
      </c>
      <c r="F31" t="s">
        <v>455</v>
      </c>
      <c r="G31" t="s">
        <v>18</v>
      </c>
      <c r="H31" s="3"/>
      <c r="I31">
        <v>5300</v>
      </c>
      <c r="J31" t="s">
        <v>227</v>
      </c>
      <c r="K31" t="s">
        <v>228</v>
      </c>
      <c r="L31" t="s">
        <v>31</v>
      </c>
      <c r="M31" t="b">
        <v>1</v>
      </c>
      <c r="N31" t="str">
        <f>IF(OR(CleanEmployeeData[[#This Row],[Status]]="Pending",CleanEmployeeData[[#This Row],[Performance_Score]]="Needs Improvement"),"Needs Attention","Normal")</f>
        <v>Normal</v>
      </c>
      <c r="O31" t="str">
        <f>IF(AND(CleanEmployeeData[[#This Row],[Status]]="Active",CleanEmployeeData[[#This Row],[Performance_Score]]="Needs Improvement"),"Priority Review","No")</f>
        <v>No</v>
      </c>
    </row>
    <row r="32" spans="1:15">
      <c r="A32" t="s">
        <v>229</v>
      </c>
      <c r="B32" t="s">
        <v>88</v>
      </c>
      <c r="C32" t="s">
        <v>114</v>
      </c>
      <c r="D32">
        <v>53</v>
      </c>
      <c r="E32" t="s">
        <v>461</v>
      </c>
      <c r="F32" t="s">
        <v>454</v>
      </c>
      <c r="G32" t="s">
        <v>46</v>
      </c>
      <c r="H32" s="3">
        <v>44857</v>
      </c>
      <c r="I32">
        <v>6700</v>
      </c>
      <c r="J32" t="s">
        <v>233</v>
      </c>
      <c r="K32" t="s">
        <v>234</v>
      </c>
      <c r="L32" t="s">
        <v>31</v>
      </c>
      <c r="M32" t="b">
        <v>1</v>
      </c>
      <c r="N32" t="str">
        <f>IF(OR(CleanEmployeeData[[#This Row],[Status]]="Pending",CleanEmployeeData[[#This Row],[Performance_Score]]="Needs Improvement"),"Needs Attention","Normal")</f>
        <v>Normal</v>
      </c>
      <c r="O32" t="str">
        <f>IF(AND(CleanEmployeeData[[#This Row],[Status]]="Active",CleanEmployeeData[[#This Row],[Performance_Score]]="Needs Improvement"),"Priority Review","No")</f>
        <v>No</v>
      </c>
    </row>
    <row r="33" spans="1:15">
      <c r="A33" t="s">
        <v>235</v>
      </c>
      <c r="B33" t="s">
        <v>219</v>
      </c>
      <c r="C33" t="s">
        <v>106</v>
      </c>
      <c r="D33">
        <v>53</v>
      </c>
      <c r="E33" t="s">
        <v>451</v>
      </c>
      <c r="F33" t="s">
        <v>457</v>
      </c>
      <c r="G33" t="s">
        <v>18</v>
      </c>
      <c r="H33" s="3">
        <v>44220</v>
      </c>
      <c r="I33">
        <v>7800</v>
      </c>
      <c r="J33" t="s">
        <v>238</v>
      </c>
      <c r="K33" t="s">
        <v>239</v>
      </c>
      <c r="L33" t="s">
        <v>40</v>
      </c>
      <c r="M33" t="b">
        <v>1</v>
      </c>
      <c r="N33" t="str">
        <f>IF(OR(CleanEmployeeData[[#This Row],[Status]]="Pending",CleanEmployeeData[[#This Row],[Performance_Score]]="Needs Improvement"),"Needs Attention","Normal")</f>
        <v>Normal</v>
      </c>
      <c r="O33" t="str">
        <f>IF(AND(CleanEmployeeData[[#This Row],[Status]]="Active",CleanEmployeeData[[#This Row],[Performance_Score]]="Needs Improvement"),"Priority Review","No")</f>
        <v>No</v>
      </c>
    </row>
    <row r="34" spans="1:15">
      <c r="A34" t="s">
        <v>240</v>
      </c>
      <c r="B34" t="s">
        <v>113</v>
      </c>
      <c r="C34" t="s">
        <v>241</v>
      </c>
      <c r="D34">
        <v>50</v>
      </c>
      <c r="E34" t="s">
        <v>451</v>
      </c>
      <c r="F34" t="s">
        <v>452</v>
      </c>
      <c r="G34" t="s">
        <v>18</v>
      </c>
      <c r="H34" s="3">
        <v>45124</v>
      </c>
      <c r="I34">
        <v>7200</v>
      </c>
      <c r="J34" t="s">
        <v>244</v>
      </c>
      <c r="K34" t="s">
        <v>245</v>
      </c>
      <c r="L34" t="s">
        <v>40</v>
      </c>
      <c r="M34" t="b">
        <v>0</v>
      </c>
      <c r="N34" t="str">
        <f>IF(OR(CleanEmployeeData[[#This Row],[Status]]="Pending",CleanEmployeeData[[#This Row],[Performance_Score]]="Needs Improvement"),"Needs Attention","Normal")</f>
        <v>Normal</v>
      </c>
      <c r="O34" t="str">
        <f>IF(AND(CleanEmployeeData[[#This Row],[Status]]="Active",CleanEmployeeData[[#This Row],[Performance_Score]]="Needs Improvement"),"Priority Review","No")</f>
        <v>No</v>
      </c>
    </row>
    <row r="35" spans="1:15">
      <c r="A35" t="s">
        <v>246</v>
      </c>
      <c r="B35" t="s">
        <v>190</v>
      </c>
      <c r="C35" t="s">
        <v>121</v>
      </c>
      <c r="D35">
        <v>28</v>
      </c>
      <c r="E35" t="s">
        <v>461</v>
      </c>
      <c r="F35" t="s">
        <v>457</v>
      </c>
      <c r="G35" t="s">
        <v>18</v>
      </c>
      <c r="H35" s="3"/>
      <c r="I35">
        <v>16000</v>
      </c>
      <c r="J35" t="s">
        <v>249</v>
      </c>
      <c r="K35" t="s">
        <v>250</v>
      </c>
      <c r="L35" t="s">
        <v>40</v>
      </c>
      <c r="M35" t="b">
        <v>1</v>
      </c>
      <c r="N35" t="str">
        <f>IF(OR(CleanEmployeeData[[#This Row],[Status]]="Pending",CleanEmployeeData[[#This Row],[Performance_Score]]="Needs Improvement"),"Needs Attention","Normal")</f>
        <v>Normal</v>
      </c>
      <c r="O35" t="str">
        <f>IF(AND(CleanEmployeeData[[#This Row],[Status]]="Active",CleanEmployeeData[[#This Row],[Performance_Score]]="Needs Improvement"),"Priority Review","No")</f>
        <v>No</v>
      </c>
    </row>
    <row r="36" spans="1:15">
      <c r="A36" t="s">
        <v>251</v>
      </c>
      <c r="B36" t="s">
        <v>64</v>
      </c>
      <c r="C36" t="s">
        <v>43</v>
      </c>
      <c r="D36">
        <v>34</v>
      </c>
      <c r="E36" t="s">
        <v>461</v>
      </c>
      <c r="F36" t="s">
        <v>457</v>
      </c>
      <c r="G36" t="s">
        <v>18</v>
      </c>
      <c r="H36" s="3"/>
      <c r="I36">
        <v>10700</v>
      </c>
      <c r="J36" t="s">
        <v>254</v>
      </c>
      <c r="K36" t="s">
        <v>255</v>
      </c>
      <c r="L36" t="s">
        <v>31</v>
      </c>
      <c r="M36" t="b">
        <v>1</v>
      </c>
      <c r="N36" t="str">
        <f>IF(OR(CleanEmployeeData[[#This Row],[Status]]="Pending",CleanEmployeeData[[#This Row],[Performance_Score]]="Needs Improvement"),"Needs Attention","Normal")</f>
        <v>Normal</v>
      </c>
      <c r="O36" t="str">
        <f>IF(AND(CleanEmployeeData[[#This Row],[Status]]="Active",CleanEmployeeData[[#This Row],[Performance_Score]]="Needs Improvement"),"Priority Review","No")</f>
        <v>No</v>
      </c>
    </row>
    <row r="37" spans="1:15">
      <c r="A37" t="s">
        <v>256</v>
      </c>
      <c r="B37" t="s">
        <v>257</v>
      </c>
      <c r="C37" t="s">
        <v>121</v>
      </c>
      <c r="D37">
        <v>26</v>
      </c>
      <c r="E37" t="s">
        <v>462</v>
      </c>
      <c r="F37" t="s">
        <v>452</v>
      </c>
      <c r="G37" t="s">
        <v>18</v>
      </c>
      <c r="H37" s="3">
        <v>44836</v>
      </c>
      <c r="I37">
        <v>18000</v>
      </c>
      <c r="J37" t="s">
        <v>261</v>
      </c>
      <c r="K37" t="s">
        <v>262</v>
      </c>
      <c r="L37" t="s">
        <v>31</v>
      </c>
      <c r="M37" t="b">
        <v>1</v>
      </c>
      <c r="N37" t="str">
        <f>IF(OR(CleanEmployeeData[[#This Row],[Status]]="Pending",CleanEmployeeData[[#This Row],[Performance_Score]]="Needs Improvement"),"Needs Attention","Normal")</f>
        <v>Normal</v>
      </c>
      <c r="O37" t="str">
        <f>IF(AND(CleanEmployeeData[[#This Row],[Status]]="Active",CleanEmployeeData[[#This Row],[Performance_Score]]="Needs Improvement"),"Priority Review","No")</f>
        <v>No</v>
      </c>
    </row>
    <row r="38" spans="1:15">
      <c r="A38" t="s">
        <v>263</v>
      </c>
      <c r="B38" t="s">
        <v>264</v>
      </c>
      <c r="C38" t="s">
        <v>106</v>
      </c>
      <c r="E38" t="s">
        <v>462</v>
      </c>
      <c r="F38" t="s">
        <v>455</v>
      </c>
      <c r="G38" t="s">
        <v>46</v>
      </c>
      <c r="H38" s="3">
        <v>45240</v>
      </c>
      <c r="I38">
        <v>14900</v>
      </c>
      <c r="J38" t="s">
        <v>268</v>
      </c>
      <c r="K38" t="s">
        <v>269</v>
      </c>
      <c r="L38" t="s">
        <v>86</v>
      </c>
      <c r="M38" t="b">
        <v>1</v>
      </c>
      <c r="N38" t="str">
        <f>IF(OR(CleanEmployeeData[[#This Row],[Status]]="Pending",CleanEmployeeData[[#This Row],[Performance_Score]]="Needs Improvement"),"Needs Attention","Normal")</f>
        <v>Normal</v>
      </c>
      <c r="O38" t="str">
        <f>IF(AND(CleanEmployeeData[[#This Row],[Status]]="Active",CleanEmployeeData[[#This Row],[Performance_Score]]="Needs Improvement"),"Priority Review","No")</f>
        <v>No</v>
      </c>
    </row>
    <row r="39" spans="1:15">
      <c r="A39" t="s">
        <v>270</v>
      </c>
      <c r="B39" t="s">
        <v>271</v>
      </c>
      <c r="C39" t="s">
        <v>81</v>
      </c>
      <c r="D39">
        <v>37</v>
      </c>
      <c r="E39" t="s">
        <v>462</v>
      </c>
      <c r="F39" t="s">
        <v>454</v>
      </c>
      <c r="G39" t="s">
        <v>18</v>
      </c>
      <c r="H39" s="3">
        <v>43115</v>
      </c>
      <c r="I39">
        <v>16700</v>
      </c>
      <c r="J39" t="s">
        <v>275</v>
      </c>
      <c r="K39" t="s">
        <v>276</v>
      </c>
      <c r="L39" t="s">
        <v>22</v>
      </c>
      <c r="M39" t="b">
        <v>0</v>
      </c>
      <c r="N39" t="str">
        <f>IF(OR(CleanEmployeeData[[#This Row],[Status]]="Pending",CleanEmployeeData[[#This Row],[Performance_Score]]="Needs Improvement"),"Needs Attention","Normal")</f>
        <v>Needs Attention</v>
      </c>
      <c r="O39" t="str">
        <f>IF(AND(CleanEmployeeData[[#This Row],[Status]]="Active",CleanEmployeeData[[#This Row],[Performance_Score]]="Needs Improvement"),"Priority Review","No")</f>
        <v>Priority Review</v>
      </c>
    </row>
    <row r="40" spans="1:15">
      <c r="A40" t="s">
        <v>277</v>
      </c>
      <c r="B40" t="s">
        <v>278</v>
      </c>
      <c r="C40" t="s">
        <v>73</v>
      </c>
      <c r="D40">
        <v>55</v>
      </c>
      <c r="E40" t="s">
        <v>459</v>
      </c>
      <c r="F40" t="s">
        <v>454</v>
      </c>
      <c r="G40" t="s">
        <v>18</v>
      </c>
      <c r="H40" s="3">
        <v>45804</v>
      </c>
      <c r="I40">
        <v>15400</v>
      </c>
      <c r="J40" t="s">
        <v>282</v>
      </c>
      <c r="K40" t="s">
        <v>283</v>
      </c>
      <c r="L40" t="s">
        <v>86</v>
      </c>
      <c r="M40" t="b">
        <v>1</v>
      </c>
      <c r="N40" t="str">
        <f>IF(OR(CleanEmployeeData[[#This Row],[Status]]="Pending",CleanEmployeeData[[#This Row],[Performance_Score]]="Needs Improvement"),"Needs Attention","Normal")</f>
        <v>Normal</v>
      </c>
      <c r="O40" t="str">
        <f>IF(AND(CleanEmployeeData[[#This Row],[Status]]="Active",CleanEmployeeData[[#This Row],[Performance_Score]]="Needs Improvement"),"Priority Review","No")</f>
        <v>No</v>
      </c>
    </row>
    <row r="41" spans="1:15">
      <c r="A41" t="s">
        <v>284</v>
      </c>
      <c r="B41" t="s">
        <v>42</v>
      </c>
      <c r="C41" t="s">
        <v>34</v>
      </c>
      <c r="D41">
        <v>36</v>
      </c>
      <c r="E41" t="s">
        <v>459</v>
      </c>
      <c r="F41" t="s">
        <v>454</v>
      </c>
      <c r="G41" t="s">
        <v>18</v>
      </c>
      <c r="H41" s="3"/>
      <c r="I41">
        <v>18700</v>
      </c>
      <c r="J41" t="s">
        <v>463</v>
      </c>
      <c r="K41" t="s">
        <v>287</v>
      </c>
      <c r="L41" t="s">
        <v>22</v>
      </c>
      <c r="M41" t="b">
        <v>1</v>
      </c>
      <c r="N41" t="str">
        <f>IF(OR(CleanEmployeeData[[#This Row],[Status]]="Pending",CleanEmployeeData[[#This Row],[Performance_Score]]="Needs Improvement"),"Needs Attention","Normal")</f>
        <v>Needs Attention</v>
      </c>
      <c r="O41" t="str">
        <f>IF(AND(CleanEmployeeData[[#This Row],[Status]]="Active",CleanEmployeeData[[#This Row],[Performance_Score]]="Needs Improvement"),"Priority Review","No")</f>
        <v>Priority Review</v>
      </c>
    </row>
    <row r="42" spans="1:15">
      <c r="A42" t="s">
        <v>288</v>
      </c>
      <c r="B42" t="s">
        <v>289</v>
      </c>
      <c r="C42" t="s">
        <v>15</v>
      </c>
      <c r="D42">
        <v>57</v>
      </c>
      <c r="E42" t="s">
        <v>449</v>
      </c>
      <c r="F42" t="s">
        <v>457</v>
      </c>
      <c r="G42" t="s">
        <v>18</v>
      </c>
      <c r="H42" s="3">
        <v>43831</v>
      </c>
      <c r="I42">
        <v>14100</v>
      </c>
      <c r="J42" t="s">
        <v>293</v>
      </c>
      <c r="K42" t="s">
        <v>294</v>
      </c>
      <c r="L42" t="s">
        <v>31</v>
      </c>
      <c r="M42" t="b">
        <v>0</v>
      </c>
      <c r="N42" t="str">
        <f>IF(OR(CleanEmployeeData[[#This Row],[Status]]="Pending",CleanEmployeeData[[#This Row],[Performance_Score]]="Needs Improvement"),"Needs Attention","Normal")</f>
        <v>Normal</v>
      </c>
      <c r="O42" t="str">
        <f>IF(AND(CleanEmployeeData[[#This Row],[Status]]="Active",CleanEmployeeData[[#This Row],[Performance_Score]]="Needs Improvement"),"Priority Review","No")</f>
        <v>No</v>
      </c>
    </row>
    <row r="43" spans="1:15">
      <c r="A43" t="s">
        <v>295</v>
      </c>
      <c r="B43" t="s">
        <v>296</v>
      </c>
      <c r="C43" t="s">
        <v>297</v>
      </c>
      <c r="D43">
        <v>51</v>
      </c>
      <c r="E43" t="s">
        <v>459</v>
      </c>
      <c r="F43" t="s">
        <v>457</v>
      </c>
      <c r="G43" t="s">
        <v>18</v>
      </c>
      <c r="H43" s="3"/>
      <c r="I43">
        <v>8400</v>
      </c>
      <c r="J43" t="s">
        <v>301</v>
      </c>
      <c r="K43" t="s">
        <v>302</v>
      </c>
      <c r="L43" t="s">
        <v>40</v>
      </c>
      <c r="M43" t="b">
        <v>1</v>
      </c>
      <c r="N43" t="str">
        <f>IF(OR(CleanEmployeeData[[#This Row],[Status]]="Pending",CleanEmployeeData[[#This Row],[Performance_Score]]="Needs Improvement"),"Needs Attention","Normal")</f>
        <v>Normal</v>
      </c>
      <c r="O43" t="str">
        <f>IF(AND(CleanEmployeeData[[#This Row],[Status]]="Active",CleanEmployeeData[[#This Row],[Performance_Score]]="Needs Improvement"),"Priority Review","No")</f>
        <v>No</v>
      </c>
    </row>
    <row r="44" spans="1:15">
      <c r="A44" t="s">
        <v>303</v>
      </c>
      <c r="B44" t="s">
        <v>33</v>
      </c>
      <c r="C44" t="s">
        <v>34</v>
      </c>
      <c r="D44">
        <v>28</v>
      </c>
      <c r="E44" t="s">
        <v>456</v>
      </c>
      <c r="F44" t="s">
        <v>450</v>
      </c>
      <c r="G44" t="s">
        <v>18</v>
      </c>
      <c r="H44" s="3">
        <v>44357</v>
      </c>
      <c r="I44">
        <v>5000</v>
      </c>
      <c r="J44" t="s">
        <v>305</v>
      </c>
      <c r="K44" t="s">
        <v>306</v>
      </c>
      <c r="L44" t="s">
        <v>31</v>
      </c>
      <c r="M44" t="b">
        <v>0</v>
      </c>
      <c r="N44" t="str">
        <f>IF(OR(CleanEmployeeData[[#This Row],[Status]]="Pending",CleanEmployeeData[[#This Row],[Performance_Score]]="Needs Improvement"),"Needs Attention","Normal")</f>
        <v>Normal</v>
      </c>
      <c r="O44" t="str">
        <f>IF(AND(CleanEmployeeData[[#This Row],[Status]]="Active",CleanEmployeeData[[#This Row],[Performance_Score]]="Needs Improvement"),"Priority Review","No")</f>
        <v>No</v>
      </c>
    </row>
    <row r="45" spans="1:15">
      <c r="A45" t="s">
        <v>308</v>
      </c>
      <c r="B45" t="s">
        <v>309</v>
      </c>
      <c r="C45" t="s">
        <v>81</v>
      </c>
      <c r="D45">
        <v>55</v>
      </c>
      <c r="E45" t="s">
        <v>458</v>
      </c>
      <c r="F45" t="s">
        <v>455</v>
      </c>
      <c r="G45" t="s">
        <v>46</v>
      </c>
      <c r="H45" s="3">
        <v>44260</v>
      </c>
      <c r="I45">
        <v>18200</v>
      </c>
      <c r="J45" t="s">
        <v>312</v>
      </c>
      <c r="K45" t="s">
        <v>313</v>
      </c>
      <c r="L45" t="s">
        <v>86</v>
      </c>
      <c r="M45" t="b">
        <v>1</v>
      </c>
      <c r="N45" t="str">
        <f>IF(OR(CleanEmployeeData[[#This Row],[Status]]="Pending",CleanEmployeeData[[#This Row],[Performance_Score]]="Needs Improvement"),"Needs Attention","Normal")</f>
        <v>Normal</v>
      </c>
      <c r="O45" t="str">
        <f>IF(AND(CleanEmployeeData[[#This Row],[Status]]="Active",CleanEmployeeData[[#This Row],[Performance_Score]]="Needs Improvement"),"Priority Review","No")</f>
        <v>No</v>
      </c>
    </row>
    <row r="46" spans="1:15">
      <c r="A46" t="s">
        <v>314</v>
      </c>
      <c r="B46" t="s">
        <v>14</v>
      </c>
      <c r="C46" t="s">
        <v>15</v>
      </c>
      <c r="D46">
        <v>35</v>
      </c>
      <c r="E46" t="s">
        <v>449</v>
      </c>
      <c r="F46" t="s">
        <v>455</v>
      </c>
      <c r="G46" t="s">
        <v>100</v>
      </c>
      <c r="H46" s="3">
        <v>44503</v>
      </c>
      <c r="I46">
        <v>6000</v>
      </c>
      <c r="J46" t="s">
        <v>317</v>
      </c>
      <c r="K46" t="s">
        <v>318</v>
      </c>
      <c r="L46" t="s">
        <v>22</v>
      </c>
      <c r="M46" t="b">
        <v>0</v>
      </c>
      <c r="N46" t="str">
        <f>IF(OR(CleanEmployeeData[[#This Row],[Status]]="Pending",CleanEmployeeData[[#This Row],[Performance_Score]]="Needs Improvement"),"Needs Attention","Normal")</f>
        <v>Needs Attention</v>
      </c>
      <c r="O46" t="str">
        <f>IF(AND(CleanEmployeeData[[#This Row],[Status]]="Active",CleanEmployeeData[[#This Row],[Performance_Score]]="Needs Improvement"),"Priority Review","No")</f>
        <v>No</v>
      </c>
    </row>
    <row r="47" spans="1:15">
      <c r="A47" t="s">
        <v>319</v>
      </c>
      <c r="B47" t="s">
        <v>257</v>
      </c>
      <c r="C47" t="s">
        <v>241</v>
      </c>
      <c r="D47">
        <v>58</v>
      </c>
      <c r="E47" t="s">
        <v>458</v>
      </c>
      <c r="F47" t="s">
        <v>454</v>
      </c>
      <c r="G47" t="s">
        <v>18</v>
      </c>
      <c r="H47" s="3">
        <v>44981</v>
      </c>
      <c r="I47">
        <v>17900</v>
      </c>
      <c r="J47" t="s">
        <v>323</v>
      </c>
      <c r="K47" t="s">
        <v>324</v>
      </c>
      <c r="L47" t="s">
        <v>31</v>
      </c>
      <c r="M47" t="b">
        <v>0</v>
      </c>
      <c r="N47" t="str">
        <f>IF(OR(CleanEmployeeData[[#This Row],[Status]]="Pending",CleanEmployeeData[[#This Row],[Performance_Score]]="Needs Improvement"),"Needs Attention","Normal")</f>
        <v>Normal</v>
      </c>
      <c r="O47" t="str">
        <f>IF(AND(CleanEmployeeData[[#This Row],[Status]]="Active",CleanEmployeeData[[#This Row],[Performance_Score]]="Needs Improvement"),"Priority Review","No")</f>
        <v>No</v>
      </c>
    </row>
    <row r="48" spans="1:15">
      <c r="A48" t="s">
        <v>325</v>
      </c>
      <c r="B48" t="s">
        <v>296</v>
      </c>
      <c r="C48" t="s">
        <v>34</v>
      </c>
      <c r="D48">
        <v>44</v>
      </c>
      <c r="E48" t="s">
        <v>462</v>
      </c>
      <c r="F48" t="s">
        <v>450</v>
      </c>
      <c r="G48" t="s">
        <v>18</v>
      </c>
      <c r="H48" s="3">
        <v>45144</v>
      </c>
      <c r="I48">
        <v>14600</v>
      </c>
      <c r="J48" t="s">
        <v>329</v>
      </c>
      <c r="K48" t="s">
        <v>330</v>
      </c>
      <c r="L48" t="s">
        <v>40</v>
      </c>
      <c r="M48" t="b">
        <v>0</v>
      </c>
      <c r="N48" t="str">
        <f>IF(OR(CleanEmployeeData[[#This Row],[Status]]="Pending",CleanEmployeeData[[#This Row],[Performance_Score]]="Needs Improvement"),"Needs Attention","Normal")</f>
        <v>Normal</v>
      </c>
      <c r="O48" t="str">
        <f>IF(AND(CleanEmployeeData[[#This Row],[Status]]="Active",CleanEmployeeData[[#This Row],[Performance_Score]]="Needs Improvement"),"Priority Review","No")</f>
        <v>No</v>
      </c>
    </row>
    <row r="49" spans="1:15">
      <c r="A49" t="s">
        <v>331</v>
      </c>
      <c r="B49" t="s">
        <v>25</v>
      </c>
      <c r="C49" t="s">
        <v>241</v>
      </c>
      <c r="D49">
        <v>44</v>
      </c>
      <c r="E49" t="s">
        <v>453</v>
      </c>
      <c r="F49" t="s">
        <v>454</v>
      </c>
      <c r="G49" t="s">
        <v>18</v>
      </c>
      <c r="H49" s="3">
        <v>45294</v>
      </c>
      <c r="I49">
        <v>7600</v>
      </c>
      <c r="J49" t="s">
        <v>334</v>
      </c>
      <c r="K49" t="s">
        <v>335</v>
      </c>
      <c r="L49" t="s">
        <v>86</v>
      </c>
      <c r="M49" t="b">
        <v>1</v>
      </c>
      <c r="N49" t="str">
        <f>IF(OR(CleanEmployeeData[[#This Row],[Status]]="Pending",CleanEmployeeData[[#This Row],[Performance_Score]]="Needs Improvement"),"Needs Attention","Normal")</f>
        <v>Normal</v>
      </c>
      <c r="O49" t="str">
        <f>IF(AND(CleanEmployeeData[[#This Row],[Status]]="Active",CleanEmployeeData[[#This Row],[Performance_Score]]="Needs Improvement"),"Priority Review","No")</f>
        <v>No</v>
      </c>
    </row>
    <row r="50" spans="1:15">
      <c r="A50" t="s">
        <v>336</v>
      </c>
      <c r="B50" t="s">
        <v>219</v>
      </c>
      <c r="C50" t="s">
        <v>25</v>
      </c>
      <c r="D50">
        <v>30</v>
      </c>
      <c r="E50" t="s">
        <v>459</v>
      </c>
      <c r="F50" t="s">
        <v>454</v>
      </c>
      <c r="G50" t="s">
        <v>18</v>
      </c>
      <c r="H50" s="3">
        <v>43186</v>
      </c>
      <c r="I50">
        <v>18200</v>
      </c>
      <c r="J50" t="s">
        <v>338</v>
      </c>
      <c r="K50" t="s">
        <v>339</v>
      </c>
      <c r="L50" t="s">
        <v>22</v>
      </c>
      <c r="M50" t="b">
        <v>1</v>
      </c>
      <c r="N50" t="str">
        <f>IF(OR(CleanEmployeeData[[#This Row],[Status]]="Pending",CleanEmployeeData[[#This Row],[Performance_Score]]="Needs Improvement"),"Needs Attention","Normal")</f>
        <v>Needs Attention</v>
      </c>
      <c r="O50" t="str">
        <f>IF(AND(CleanEmployeeData[[#This Row],[Status]]="Active",CleanEmployeeData[[#This Row],[Performance_Score]]="Needs Improvement"),"Priority Review","No")</f>
        <v>Priority Review</v>
      </c>
    </row>
    <row r="51" spans="1:15">
      <c r="A51" t="s">
        <v>340</v>
      </c>
      <c r="B51" t="s">
        <v>113</v>
      </c>
      <c r="C51" t="s">
        <v>241</v>
      </c>
      <c r="D51">
        <v>22</v>
      </c>
      <c r="E51" t="s">
        <v>456</v>
      </c>
      <c r="F51" t="s">
        <v>450</v>
      </c>
      <c r="G51" t="s">
        <v>46</v>
      </c>
      <c r="H51" s="3">
        <v>44463</v>
      </c>
      <c r="I51">
        <v>7200</v>
      </c>
      <c r="J51" t="s">
        <v>342</v>
      </c>
      <c r="K51" t="s">
        <v>343</v>
      </c>
      <c r="L51" t="s">
        <v>86</v>
      </c>
      <c r="M51" t="b">
        <v>0</v>
      </c>
      <c r="N51" t="str">
        <f>IF(OR(CleanEmployeeData[[#This Row],[Status]]="Pending",CleanEmployeeData[[#This Row],[Performance_Score]]="Needs Improvement"),"Needs Attention","Normal")</f>
        <v>Normal</v>
      </c>
      <c r="O51" t="str">
        <f>IF(AND(CleanEmployeeData[[#This Row],[Status]]="Active",CleanEmployeeData[[#This Row],[Performance_Score]]="Needs Improvement"),"Priority Review","No")</f>
        <v>No</v>
      </c>
    </row>
    <row r="52" spans="1:15">
      <c r="A52" t="s">
        <v>344</v>
      </c>
      <c r="B52" t="s">
        <v>113</v>
      </c>
      <c r="C52" t="s">
        <v>57</v>
      </c>
      <c r="D52">
        <v>31</v>
      </c>
      <c r="E52" t="s">
        <v>461</v>
      </c>
      <c r="F52" t="s">
        <v>454</v>
      </c>
      <c r="G52" t="s">
        <v>18</v>
      </c>
      <c r="H52" s="3">
        <v>45908</v>
      </c>
      <c r="I52">
        <v>6300</v>
      </c>
      <c r="J52" t="s">
        <v>347</v>
      </c>
      <c r="K52" t="s">
        <v>348</v>
      </c>
      <c r="L52" t="s">
        <v>86</v>
      </c>
      <c r="M52" t="b">
        <v>1</v>
      </c>
      <c r="N52" t="str">
        <f>IF(OR(CleanEmployeeData[[#This Row],[Status]]="Pending",CleanEmployeeData[[#This Row],[Performance_Score]]="Needs Improvement"),"Needs Attention","Normal")</f>
        <v>Normal</v>
      </c>
      <c r="O52" t="str">
        <f>IF(AND(CleanEmployeeData[[#This Row],[Status]]="Active",CleanEmployeeData[[#This Row],[Performance_Score]]="Needs Improvement"),"Priority Review","No")</f>
        <v>No</v>
      </c>
    </row>
    <row r="53" spans="1:15">
      <c r="A53" t="s">
        <v>349</v>
      </c>
      <c r="B53" t="s">
        <v>350</v>
      </c>
      <c r="C53" t="s">
        <v>151</v>
      </c>
      <c r="D53">
        <v>35</v>
      </c>
      <c r="E53" t="s">
        <v>461</v>
      </c>
      <c r="F53" t="s">
        <v>452</v>
      </c>
      <c r="G53" t="s">
        <v>46</v>
      </c>
      <c r="H53" s="3">
        <v>43381</v>
      </c>
      <c r="I53">
        <v>10800</v>
      </c>
      <c r="J53" t="s">
        <v>354</v>
      </c>
      <c r="K53" t="s">
        <v>355</v>
      </c>
      <c r="L53" t="s">
        <v>22</v>
      </c>
      <c r="M53" t="b">
        <v>0</v>
      </c>
      <c r="N53" t="str">
        <f>IF(OR(CleanEmployeeData[[#This Row],[Status]]="Pending",CleanEmployeeData[[#This Row],[Performance_Score]]="Needs Improvement"),"Needs Attention","Normal")</f>
        <v>Needs Attention</v>
      </c>
      <c r="O53" t="str">
        <f>IF(AND(CleanEmployeeData[[#This Row],[Status]]="Active",CleanEmployeeData[[#This Row],[Performance_Score]]="Needs Improvement"),"Priority Review","No")</f>
        <v>No</v>
      </c>
    </row>
    <row r="54" spans="1:15">
      <c r="A54" t="s">
        <v>356</v>
      </c>
      <c r="B54" t="s">
        <v>357</v>
      </c>
      <c r="C54" t="s">
        <v>121</v>
      </c>
      <c r="D54">
        <v>26</v>
      </c>
      <c r="E54" t="s">
        <v>453</v>
      </c>
      <c r="F54" t="s">
        <v>454</v>
      </c>
      <c r="G54" t="s">
        <v>100</v>
      </c>
      <c r="H54" s="3">
        <v>44600</v>
      </c>
      <c r="I54">
        <v>12500</v>
      </c>
      <c r="J54" t="s">
        <v>360</v>
      </c>
      <c r="K54" t="s">
        <v>361</v>
      </c>
      <c r="L54" t="s">
        <v>31</v>
      </c>
      <c r="M54" t="b">
        <v>0</v>
      </c>
      <c r="N54" t="str">
        <f>IF(OR(CleanEmployeeData[[#This Row],[Status]]="Pending",CleanEmployeeData[[#This Row],[Performance_Score]]="Needs Improvement"),"Needs Attention","Normal")</f>
        <v>Needs Attention</v>
      </c>
      <c r="O54" t="str">
        <f>IF(AND(CleanEmployeeData[[#This Row],[Status]]="Active",CleanEmployeeData[[#This Row],[Performance_Score]]="Needs Improvement"),"Priority Review","No")</f>
        <v>No</v>
      </c>
    </row>
    <row r="55" spans="1:15">
      <c r="A55" t="s">
        <v>362</v>
      </c>
      <c r="B55" t="s">
        <v>88</v>
      </c>
      <c r="C55" t="s">
        <v>65</v>
      </c>
      <c r="D55">
        <v>28</v>
      </c>
      <c r="E55" t="s">
        <v>458</v>
      </c>
      <c r="F55" t="s">
        <v>460</v>
      </c>
      <c r="G55" t="s">
        <v>100</v>
      </c>
      <c r="H55" s="3">
        <v>44140</v>
      </c>
      <c r="J55" t="s">
        <v>367</v>
      </c>
      <c r="K55" t="s">
        <v>368</v>
      </c>
      <c r="L55" t="s">
        <v>86</v>
      </c>
      <c r="M55" t="b">
        <v>1</v>
      </c>
      <c r="N55" t="str">
        <f>IF(OR(CleanEmployeeData[[#This Row],[Status]]="Pending",CleanEmployeeData[[#This Row],[Performance_Score]]="Needs Improvement"),"Needs Attention","Normal")</f>
        <v>Needs Attention</v>
      </c>
      <c r="O55" t="str">
        <f>IF(AND(CleanEmployeeData[[#This Row],[Status]]="Active",CleanEmployeeData[[#This Row],[Performance_Score]]="Needs Improvement"),"Priority Review","No")</f>
        <v>No</v>
      </c>
    </row>
    <row r="56" spans="1:15">
      <c r="A56" t="s">
        <v>369</v>
      </c>
      <c r="B56" t="s">
        <v>350</v>
      </c>
      <c r="C56" t="s">
        <v>370</v>
      </c>
      <c r="D56">
        <v>53</v>
      </c>
      <c r="E56" t="s">
        <v>456</v>
      </c>
      <c r="F56" t="s">
        <v>457</v>
      </c>
      <c r="G56" t="s">
        <v>100</v>
      </c>
      <c r="H56" s="3">
        <v>43892</v>
      </c>
      <c r="I56">
        <v>5900</v>
      </c>
      <c r="J56" t="s">
        <v>374</v>
      </c>
      <c r="K56" t="s">
        <v>375</v>
      </c>
      <c r="L56" t="s">
        <v>86</v>
      </c>
      <c r="M56" t="b">
        <v>1</v>
      </c>
      <c r="N56" t="str">
        <f>IF(OR(CleanEmployeeData[[#This Row],[Status]]="Pending",CleanEmployeeData[[#This Row],[Performance_Score]]="Needs Improvement"),"Needs Attention","Normal")</f>
        <v>Needs Attention</v>
      </c>
      <c r="O56" t="str">
        <f>IF(AND(CleanEmployeeData[[#This Row],[Status]]="Active",CleanEmployeeData[[#This Row],[Performance_Score]]="Needs Improvement"),"Priority Review","No")</f>
        <v>No</v>
      </c>
    </row>
    <row r="57" spans="1:15">
      <c r="A57" t="s">
        <v>376</v>
      </c>
      <c r="B57" t="s">
        <v>377</v>
      </c>
      <c r="C57" t="s">
        <v>114</v>
      </c>
      <c r="D57">
        <v>47</v>
      </c>
      <c r="E57" t="s">
        <v>462</v>
      </c>
      <c r="F57" t="s">
        <v>454</v>
      </c>
      <c r="G57" t="s">
        <v>18</v>
      </c>
      <c r="H57" s="3">
        <v>43612</v>
      </c>
      <c r="I57">
        <v>13800</v>
      </c>
      <c r="J57" t="s">
        <v>380</v>
      </c>
      <c r="K57" t="s">
        <v>381</v>
      </c>
      <c r="L57" t="s">
        <v>86</v>
      </c>
      <c r="M57" t="b">
        <v>1</v>
      </c>
      <c r="N57" t="str">
        <f>IF(OR(CleanEmployeeData[[#This Row],[Status]]="Pending",CleanEmployeeData[[#This Row],[Performance_Score]]="Needs Improvement"),"Needs Attention","Normal")</f>
        <v>Normal</v>
      </c>
      <c r="O57" t="str">
        <f>IF(AND(CleanEmployeeData[[#This Row],[Status]]="Active",CleanEmployeeData[[#This Row],[Performance_Score]]="Needs Improvement"),"Priority Review","No")</f>
        <v>No</v>
      </c>
    </row>
    <row r="58" spans="1:15">
      <c r="A58" t="s">
        <v>382</v>
      </c>
      <c r="B58" t="s">
        <v>219</v>
      </c>
      <c r="C58" t="s">
        <v>241</v>
      </c>
      <c r="D58">
        <v>50</v>
      </c>
      <c r="E58" t="s">
        <v>462</v>
      </c>
      <c r="F58" t="s">
        <v>452</v>
      </c>
      <c r="G58" t="s">
        <v>18</v>
      </c>
      <c r="H58" s="3">
        <v>44113</v>
      </c>
      <c r="I58">
        <v>15600</v>
      </c>
      <c r="J58" t="s">
        <v>385</v>
      </c>
      <c r="K58" t="s">
        <v>386</v>
      </c>
      <c r="L58" t="s">
        <v>22</v>
      </c>
      <c r="M58" t="b">
        <v>1</v>
      </c>
      <c r="N58" t="str">
        <f>IF(OR(CleanEmployeeData[[#This Row],[Status]]="Pending",CleanEmployeeData[[#This Row],[Performance_Score]]="Needs Improvement"),"Needs Attention","Normal")</f>
        <v>Needs Attention</v>
      </c>
      <c r="O58" t="str">
        <f>IF(AND(CleanEmployeeData[[#This Row],[Status]]="Active",CleanEmployeeData[[#This Row],[Performance_Score]]="Needs Improvement"),"Priority Review","No")</f>
        <v>Priority Review</v>
      </c>
    </row>
    <row r="59" spans="1:15">
      <c r="A59" t="s">
        <v>388</v>
      </c>
      <c r="B59" t="s">
        <v>171</v>
      </c>
      <c r="C59" t="s">
        <v>144</v>
      </c>
      <c r="D59">
        <v>35</v>
      </c>
      <c r="E59" t="s">
        <v>458</v>
      </c>
      <c r="F59" t="s">
        <v>460</v>
      </c>
      <c r="G59" t="s">
        <v>46</v>
      </c>
      <c r="H59" s="3">
        <v>45119</v>
      </c>
      <c r="I59">
        <v>16900</v>
      </c>
      <c r="J59" t="s">
        <v>390</v>
      </c>
      <c r="K59" t="s">
        <v>391</v>
      </c>
      <c r="L59" t="s">
        <v>86</v>
      </c>
      <c r="M59" t="b">
        <v>1</v>
      </c>
      <c r="N59" t="str">
        <f>IF(OR(CleanEmployeeData[[#This Row],[Status]]="Pending",CleanEmployeeData[[#This Row],[Performance_Score]]="Needs Improvement"),"Needs Attention","Normal")</f>
        <v>Normal</v>
      </c>
      <c r="O59" t="str">
        <f>IF(AND(CleanEmployeeData[[#This Row],[Status]]="Active",CleanEmployeeData[[#This Row],[Performance_Score]]="Needs Improvement"),"Priority Review","No")</f>
        <v>No</v>
      </c>
    </row>
    <row r="60" spans="1:15">
      <c r="A60" t="s">
        <v>392</v>
      </c>
      <c r="B60" t="s">
        <v>393</v>
      </c>
      <c r="C60" t="s">
        <v>15</v>
      </c>
      <c r="D60">
        <v>45</v>
      </c>
      <c r="E60" t="s">
        <v>456</v>
      </c>
      <c r="F60" t="s">
        <v>460</v>
      </c>
      <c r="G60" t="s">
        <v>46</v>
      </c>
      <c r="H60" s="3">
        <v>43142</v>
      </c>
      <c r="I60">
        <v>13100</v>
      </c>
      <c r="J60" t="s">
        <v>397</v>
      </c>
      <c r="K60" t="s">
        <v>398</v>
      </c>
      <c r="L60" t="s">
        <v>40</v>
      </c>
      <c r="M60" t="b">
        <v>1</v>
      </c>
      <c r="N60" t="str">
        <f>IF(OR(CleanEmployeeData[[#This Row],[Status]]="Pending",CleanEmployeeData[[#This Row],[Performance_Score]]="Needs Improvement"),"Needs Attention","Normal")</f>
        <v>Normal</v>
      </c>
      <c r="O60" t="str">
        <f>IF(AND(CleanEmployeeData[[#This Row],[Status]]="Active",CleanEmployeeData[[#This Row],[Performance_Score]]="Needs Improvement"),"Priority Review","No")</f>
        <v>No</v>
      </c>
    </row>
    <row r="61" spans="1:15">
      <c r="A61" t="s">
        <v>399</v>
      </c>
      <c r="B61" t="s">
        <v>14</v>
      </c>
      <c r="C61" t="s">
        <v>73</v>
      </c>
      <c r="D61">
        <v>35</v>
      </c>
      <c r="E61" t="s">
        <v>456</v>
      </c>
      <c r="F61" t="s">
        <v>450</v>
      </c>
      <c r="G61" t="s">
        <v>18</v>
      </c>
      <c r="H61" s="3">
        <v>43474</v>
      </c>
      <c r="I61">
        <v>14800</v>
      </c>
      <c r="J61" t="s">
        <v>402</v>
      </c>
      <c r="K61" t="s">
        <v>403</v>
      </c>
      <c r="L61" t="s">
        <v>40</v>
      </c>
      <c r="N61" t="str">
        <f>IF(OR(CleanEmployeeData[[#This Row],[Status]]="Pending",CleanEmployeeData[[#This Row],[Performance_Score]]="Needs Improvement"),"Needs Attention","Normal")</f>
        <v>Normal</v>
      </c>
      <c r="O61" t="str">
        <f>IF(AND(CleanEmployeeData[[#This Row],[Status]]="Active",CleanEmployeeData[[#This Row],[Performance_Score]]="Needs Improvement"),"Priority Review","No")</f>
        <v>No</v>
      </c>
    </row>
    <row r="62" spans="1:15">
      <c r="A62" t="s">
        <v>404</v>
      </c>
      <c r="B62" t="s">
        <v>357</v>
      </c>
      <c r="C62" t="s">
        <v>151</v>
      </c>
      <c r="D62">
        <v>42</v>
      </c>
      <c r="E62" t="s">
        <v>458</v>
      </c>
      <c r="F62" t="s">
        <v>454</v>
      </c>
      <c r="G62" t="s">
        <v>18</v>
      </c>
      <c r="H62" s="3">
        <v>45074</v>
      </c>
      <c r="I62">
        <v>5600</v>
      </c>
      <c r="J62" t="s">
        <v>407</v>
      </c>
      <c r="K62" t="s">
        <v>408</v>
      </c>
      <c r="L62" t="s">
        <v>86</v>
      </c>
      <c r="M62" t="b">
        <v>0</v>
      </c>
      <c r="N62" t="str">
        <f>IF(OR(CleanEmployeeData[[#This Row],[Status]]="Pending",CleanEmployeeData[[#This Row],[Performance_Score]]="Needs Improvement"),"Needs Attention","Normal")</f>
        <v>Normal</v>
      </c>
      <c r="O62" t="str">
        <f>IF(AND(CleanEmployeeData[[#This Row],[Status]]="Active",CleanEmployeeData[[#This Row],[Performance_Score]]="Needs Improvement"),"Priority Review","No")</f>
        <v>No</v>
      </c>
    </row>
    <row r="63" spans="1:15">
      <c r="A63" t="s">
        <v>409</v>
      </c>
      <c r="B63" t="s">
        <v>309</v>
      </c>
      <c r="C63" t="s">
        <v>98</v>
      </c>
      <c r="D63">
        <v>32</v>
      </c>
      <c r="E63" t="s">
        <v>459</v>
      </c>
      <c r="F63" t="s">
        <v>454</v>
      </c>
      <c r="G63" t="s">
        <v>46</v>
      </c>
      <c r="H63" s="3"/>
      <c r="I63">
        <v>9900</v>
      </c>
      <c r="J63" t="s">
        <v>412</v>
      </c>
      <c r="K63" t="s">
        <v>413</v>
      </c>
      <c r="L63" t="s">
        <v>31</v>
      </c>
      <c r="M63" t="b">
        <v>1</v>
      </c>
      <c r="N63" t="str">
        <f>IF(OR(CleanEmployeeData[[#This Row],[Status]]="Pending",CleanEmployeeData[[#This Row],[Performance_Score]]="Needs Improvement"),"Needs Attention","Normal")</f>
        <v>Normal</v>
      </c>
      <c r="O63" t="str">
        <f>IF(AND(CleanEmployeeData[[#This Row],[Status]]="Active",CleanEmployeeData[[#This Row],[Performance_Score]]="Needs Improvement"),"Priority Review","No")</f>
        <v>No</v>
      </c>
    </row>
    <row r="64" spans="1:15">
      <c r="A64" t="s">
        <v>414</v>
      </c>
      <c r="B64" t="s">
        <v>296</v>
      </c>
      <c r="C64" t="s">
        <v>81</v>
      </c>
      <c r="D64">
        <v>51</v>
      </c>
      <c r="E64" t="s">
        <v>449</v>
      </c>
      <c r="F64" t="s">
        <v>457</v>
      </c>
      <c r="G64" t="s">
        <v>46</v>
      </c>
      <c r="H64" s="3"/>
      <c r="I64">
        <v>15600</v>
      </c>
      <c r="J64" t="s">
        <v>417</v>
      </c>
      <c r="K64" t="s">
        <v>418</v>
      </c>
      <c r="L64" t="s">
        <v>40</v>
      </c>
      <c r="M64" t="b">
        <v>1</v>
      </c>
      <c r="N64" t="str">
        <f>IF(OR(CleanEmployeeData[[#This Row],[Status]]="Pending",CleanEmployeeData[[#This Row],[Performance_Score]]="Needs Improvement"),"Needs Attention","Normal")</f>
        <v>Normal</v>
      </c>
      <c r="O64" t="str">
        <f>IF(AND(CleanEmployeeData[[#This Row],[Status]]="Active",CleanEmployeeData[[#This Row],[Performance_Score]]="Needs Improvement"),"Priority Review","No")</f>
        <v>No</v>
      </c>
    </row>
    <row r="65" spans="1:15">
      <c r="A65" t="s">
        <v>419</v>
      </c>
      <c r="B65" t="s">
        <v>264</v>
      </c>
      <c r="C65" t="s">
        <v>420</v>
      </c>
      <c r="D65">
        <v>30</v>
      </c>
      <c r="E65" t="s">
        <v>458</v>
      </c>
      <c r="F65" t="s">
        <v>452</v>
      </c>
      <c r="G65" t="s">
        <v>46</v>
      </c>
      <c r="H65" s="3">
        <v>45357</v>
      </c>
      <c r="I65">
        <v>17000</v>
      </c>
      <c r="J65" t="s">
        <v>424</v>
      </c>
      <c r="K65" t="s">
        <v>425</v>
      </c>
      <c r="L65" t="s">
        <v>31</v>
      </c>
      <c r="M65" t="b">
        <v>1</v>
      </c>
      <c r="N65" t="str">
        <f>IF(OR(CleanEmployeeData[[#This Row],[Status]]="Pending",CleanEmployeeData[[#This Row],[Performance_Score]]="Needs Improvement"),"Needs Attention","Normal")</f>
        <v>Normal</v>
      </c>
      <c r="O65" t="str">
        <f>IF(AND(CleanEmployeeData[[#This Row],[Status]]="Active",CleanEmployeeData[[#This Row],[Performance_Score]]="Needs Improvement"),"Priority Review","No")</f>
        <v>No</v>
      </c>
    </row>
    <row r="66" spans="1:15">
      <c r="A66" t="s">
        <v>426</v>
      </c>
      <c r="B66" t="s">
        <v>289</v>
      </c>
      <c r="C66" t="s">
        <v>73</v>
      </c>
      <c r="D66">
        <v>41</v>
      </c>
      <c r="E66" t="s">
        <v>453</v>
      </c>
      <c r="F66" t="s">
        <v>454</v>
      </c>
      <c r="G66" t="s">
        <v>18</v>
      </c>
      <c r="H66" s="3">
        <v>45910</v>
      </c>
      <c r="I66">
        <v>5500</v>
      </c>
      <c r="J66" t="s">
        <v>429</v>
      </c>
      <c r="K66" t="s">
        <v>430</v>
      </c>
      <c r="L66" t="s">
        <v>31</v>
      </c>
      <c r="M66" t="b">
        <v>0</v>
      </c>
      <c r="N66" t="str">
        <f>IF(OR(CleanEmployeeData[[#This Row],[Status]]="Pending",CleanEmployeeData[[#This Row],[Performance_Score]]="Needs Improvement"),"Needs Attention","Normal")</f>
        <v>Normal</v>
      </c>
      <c r="O66" t="str">
        <f>IF(AND(CleanEmployeeData[[#This Row],[Status]]="Active",CleanEmployeeData[[#This Row],[Performance_Score]]="Needs Improvement"),"Priority Review","No")</f>
        <v>No</v>
      </c>
    </row>
    <row r="67" spans="1:15">
      <c r="A67" t="s">
        <v>431</v>
      </c>
      <c r="B67" t="s">
        <v>88</v>
      </c>
      <c r="C67" t="s">
        <v>121</v>
      </c>
      <c r="D67">
        <v>45</v>
      </c>
      <c r="E67" t="s">
        <v>461</v>
      </c>
      <c r="F67" t="s">
        <v>460</v>
      </c>
      <c r="G67" t="s">
        <v>18</v>
      </c>
      <c r="H67" s="3">
        <v>43863</v>
      </c>
      <c r="I67">
        <v>14100</v>
      </c>
      <c r="J67" t="s">
        <v>435</v>
      </c>
      <c r="K67" t="s">
        <v>436</v>
      </c>
      <c r="L67" t="s">
        <v>86</v>
      </c>
      <c r="M67" t="b">
        <v>0</v>
      </c>
      <c r="N67" t="str">
        <f>IF(OR(CleanEmployeeData[[#This Row],[Status]]="Pending",CleanEmployeeData[[#This Row],[Performance_Score]]="Needs Improvement"),"Needs Attention","Normal")</f>
        <v>Normal</v>
      </c>
      <c r="O67" t="str">
        <f>IF(AND(CleanEmployeeData[[#This Row],[Status]]="Active",CleanEmployeeData[[#This Row],[Performance_Score]]="Needs Improvement"),"Priority Review","No")</f>
        <v>No</v>
      </c>
    </row>
    <row r="68" spans="1:15">
      <c r="A68" t="s">
        <v>437</v>
      </c>
      <c r="B68" t="s">
        <v>42</v>
      </c>
      <c r="C68" t="s">
        <v>43</v>
      </c>
      <c r="D68">
        <v>25</v>
      </c>
      <c r="E68" t="s">
        <v>456</v>
      </c>
      <c r="F68" t="s">
        <v>455</v>
      </c>
      <c r="G68" t="s">
        <v>18</v>
      </c>
      <c r="H68" s="3">
        <v>45690</v>
      </c>
      <c r="I68">
        <v>8000</v>
      </c>
      <c r="J68" t="s">
        <v>440</v>
      </c>
      <c r="K68" t="s">
        <v>441</v>
      </c>
      <c r="L68" t="s">
        <v>40</v>
      </c>
      <c r="M68" t="b">
        <v>0</v>
      </c>
      <c r="N68" t="str">
        <f>IF(OR(CleanEmployeeData[[#This Row],[Status]]="Pending",CleanEmployeeData[[#This Row],[Performance_Score]]="Needs Improvement"),"Needs Attention","Normal")</f>
        <v>Normal</v>
      </c>
      <c r="O68" t="str">
        <f>IF(AND(CleanEmployeeData[[#This Row],[Status]]="Active",CleanEmployeeData[[#This Row],[Performance_Score]]="Needs Improvement"),"Priority Review","No")</f>
        <v>No</v>
      </c>
    </row>
    <row r="69" spans="1:15">
      <c r="A69" t="s">
        <v>442</v>
      </c>
      <c r="B69" t="s">
        <v>171</v>
      </c>
      <c r="C69" t="s">
        <v>81</v>
      </c>
      <c r="D69">
        <v>42</v>
      </c>
      <c r="E69" t="s">
        <v>458</v>
      </c>
      <c r="F69" t="s">
        <v>454</v>
      </c>
      <c r="G69" t="s">
        <v>18</v>
      </c>
      <c r="H69" s="3">
        <v>45849</v>
      </c>
      <c r="I69">
        <v>11100</v>
      </c>
      <c r="J69" t="s">
        <v>445</v>
      </c>
      <c r="K69" t="s">
        <v>446</v>
      </c>
      <c r="L69" t="s">
        <v>31</v>
      </c>
      <c r="M69" t="b">
        <v>1</v>
      </c>
      <c r="N69" t="str">
        <f>IF(OR(CleanEmployeeData[[#This Row],[Status]]="Pending",CleanEmployeeData[[#This Row],[Performance_Score]]="Needs Improvement"),"Needs Attention","Normal")</f>
        <v>Normal</v>
      </c>
      <c r="O69" t="str">
        <f>IF(AND(CleanEmployeeData[[#This Row],[Status]]="Active",CleanEmployeeData[[#This Row],[Performance_Score]]="Needs Improvement"),"Priority Review","No")</f>
        <v>No</v>
      </c>
    </row>
    <row r="70" spans="1:15">
      <c r="A70" t="s">
        <v>464</v>
      </c>
      <c r="B70" t="s">
        <v>465</v>
      </c>
      <c r="C70" t="s">
        <v>297</v>
      </c>
      <c r="D70">
        <v>31</v>
      </c>
      <c r="E70" t="s">
        <v>456</v>
      </c>
      <c r="F70" t="s">
        <v>450</v>
      </c>
      <c r="G70" t="s">
        <v>100</v>
      </c>
      <c r="H70" s="3"/>
      <c r="I70">
        <v>47330</v>
      </c>
      <c r="J70" t="s">
        <v>467</v>
      </c>
      <c r="K70" t="s">
        <v>468</v>
      </c>
      <c r="L70" t="s">
        <v>86</v>
      </c>
      <c r="M70" t="b">
        <v>0</v>
      </c>
      <c r="N70" t="str">
        <f>IF(OR(CleanEmployeeData[[#This Row],[Status]]="Pending",CleanEmployeeData[[#This Row],[Performance_Score]]="Needs Improvement"),"Needs Attention","Normal")</f>
        <v>Needs Attention</v>
      </c>
      <c r="O70" t="str">
        <f>IF(AND(CleanEmployeeData[[#This Row],[Status]]="Active",CleanEmployeeData[[#This Row],[Performance_Score]]="Needs Improvement"),"Priority Review","No")</f>
        <v>No</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EB9A3-2975-4069-9A6C-A529BDB91C8B}">
  <dimension ref="A1:M66"/>
  <sheetViews>
    <sheetView zoomScale="88" zoomScaleNormal="50" workbookViewId="0">
      <selection activeCell="B3" sqref="B3"/>
    </sheetView>
  </sheetViews>
  <sheetFormatPr defaultRowHeight="14"/>
  <cols>
    <col min="1" max="1" width="29.58203125" bestFit="1" customWidth="1"/>
    <col min="2" max="2" width="20.6640625" customWidth="1"/>
    <col min="3" max="3" width="18.25" bestFit="1" customWidth="1"/>
    <col min="4" max="4" width="36" customWidth="1"/>
    <col min="5" max="5" width="18.25" bestFit="1" customWidth="1"/>
    <col min="6" max="6" width="17.33203125" bestFit="1" customWidth="1"/>
    <col min="7" max="7" width="8.6640625" customWidth="1"/>
    <col min="8" max="8" width="31.25" bestFit="1" customWidth="1"/>
    <col min="9" max="9" width="15.58203125" bestFit="1" customWidth="1"/>
    <col min="10" max="10" width="14.4140625" bestFit="1" customWidth="1"/>
    <col min="12" max="12" width="29.75" bestFit="1" customWidth="1"/>
    <col min="13" max="13" width="17.75" bestFit="1" customWidth="1"/>
  </cols>
  <sheetData>
    <row r="1" spans="1:13" ht="16.5">
      <c r="A1" s="31" t="s">
        <v>481</v>
      </c>
      <c r="B1" s="32"/>
      <c r="D1" s="31" t="s">
        <v>489</v>
      </c>
      <c r="E1" s="32"/>
      <c r="F1" s="19"/>
      <c r="H1" s="31" t="s">
        <v>495</v>
      </c>
      <c r="I1" s="32"/>
      <c r="J1" s="32"/>
      <c r="L1" s="31" t="s">
        <v>499</v>
      </c>
      <c r="M1" s="32"/>
    </row>
    <row r="2" spans="1:13">
      <c r="A2" s="6" t="s">
        <v>470</v>
      </c>
      <c r="B2" s="6">
        <f>COUNTA(CleanData!A:A)-1</f>
        <v>69</v>
      </c>
      <c r="D2" s="15" t="s">
        <v>447</v>
      </c>
      <c r="E2" s="15" t="s">
        <v>490</v>
      </c>
      <c r="F2" s="15" t="s">
        <v>475</v>
      </c>
      <c r="H2" s="16" t="s">
        <v>495</v>
      </c>
      <c r="I2" s="16" t="s">
        <v>490</v>
      </c>
      <c r="J2" s="16" t="s">
        <v>475</v>
      </c>
      <c r="L2" s="13" t="s">
        <v>500</v>
      </c>
      <c r="M2" s="13" t="s">
        <v>490</v>
      </c>
    </row>
    <row r="3" spans="1:13">
      <c r="A3" s="6" t="s">
        <v>471</v>
      </c>
      <c r="B3" s="6">
        <f>COUNTIF(CleanData!G:G,"Active")</f>
        <v>47</v>
      </c>
      <c r="D3" s="12" t="s">
        <v>459</v>
      </c>
      <c r="E3">
        <f>COUNTIF(CleanData!E:E,D3)</f>
        <v>8</v>
      </c>
      <c r="F3" s="11">
        <f>AVERAGEIF(CleanData!E:E,Analysis!D3,CleanData!I:I)</f>
        <v>14685.714285714286</v>
      </c>
      <c r="H3" t="s">
        <v>457</v>
      </c>
      <c r="I3">
        <f>COUNTIF(CleanData!F:F,Analysis!H3)</f>
        <v>14</v>
      </c>
      <c r="J3" s="11">
        <f>AVERAGEIF(CleanData!F:F,Analysis!H3,CleanData!I:I)</f>
        <v>11784.615384615385</v>
      </c>
      <c r="L3" t="s">
        <v>40</v>
      </c>
      <c r="M3">
        <f>COUNTIF(CleanData!L:L,Analysis!L3)</f>
        <v>12</v>
      </c>
    </row>
    <row r="4" spans="1:13">
      <c r="A4" s="6" t="s">
        <v>472</v>
      </c>
      <c r="B4" s="6">
        <f>COUNTIF(CleanData!G:G,"Inactive")</f>
        <v>15</v>
      </c>
      <c r="D4" t="s">
        <v>453</v>
      </c>
      <c r="E4">
        <f>COUNTIF(CleanData!E:E,D4)</f>
        <v>7</v>
      </c>
      <c r="F4" s="11">
        <f>AVERAGEIF(CleanData!E:E,Analysis!D4,CleanData!I:I)</f>
        <v>10614.285714285714</v>
      </c>
      <c r="H4" t="s">
        <v>454</v>
      </c>
      <c r="I4">
        <f>COUNTIF(CleanData!F:F,Analysis!H4)</f>
        <v>17</v>
      </c>
      <c r="J4" s="11">
        <f>AVERAGEIF(CleanData!F:F,Analysis!H4,CleanData!I:I)</f>
        <v>10911.764705882353</v>
      </c>
      <c r="L4" t="s">
        <v>86</v>
      </c>
      <c r="M4">
        <f>COUNTIF(CleanData!L:L,Analysis!L4)</f>
        <v>21</v>
      </c>
    </row>
    <row r="5" spans="1:13">
      <c r="A5" s="6" t="s">
        <v>473</v>
      </c>
      <c r="B5" s="6">
        <f>COUNTIF(CleanData!G:G,"Pending")</f>
        <v>7</v>
      </c>
      <c r="D5" t="s">
        <v>462</v>
      </c>
      <c r="E5">
        <f>COUNTIF(CleanData!E:E,D5)</f>
        <v>9</v>
      </c>
      <c r="F5" s="11">
        <f>AVERAGEIF(CleanData!E:E,Analysis!D5,CleanData!I:I)</f>
        <v>15555.555555555555</v>
      </c>
      <c r="H5" t="s">
        <v>460</v>
      </c>
      <c r="I5">
        <f>COUNTIF(CleanData!F:F,Analysis!H5)</f>
        <v>7</v>
      </c>
      <c r="J5" s="11">
        <f>AVERAGEIF(CleanData!F:F,Analysis!H5,CleanData!I:I)</f>
        <v>15816.666666666666</v>
      </c>
      <c r="L5" t="s">
        <v>31</v>
      </c>
      <c r="M5">
        <f>COUNTIF(CleanData!L:L,Analysis!L5)</f>
        <v>24</v>
      </c>
    </row>
    <row r="6" spans="1:13">
      <c r="A6" s="6"/>
      <c r="B6" s="6"/>
      <c r="D6" t="s">
        <v>451</v>
      </c>
      <c r="E6">
        <f>COUNTIF(CleanData!E:E,D6)</f>
        <v>9</v>
      </c>
      <c r="F6" s="11">
        <f>AVERAGEIF(CleanData!E:E,Analysis!D6,CleanData!I:I)</f>
        <v>9044.4444444444453</v>
      </c>
      <c r="H6" t="s">
        <v>455</v>
      </c>
      <c r="I6">
        <f>COUNTIF(CleanData!F:F,Analysis!H6)</f>
        <v>11</v>
      </c>
      <c r="J6" s="11">
        <f>AVERAGEIF(CleanData!F:F,Analysis!H6,CleanData!I:I)</f>
        <v>11127.272727272728</v>
      </c>
      <c r="L6" t="s">
        <v>22</v>
      </c>
      <c r="M6">
        <f>COUNTIF(CleanData!L:L,Analysis!L6)</f>
        <v>12</v>
      </c>
    </row>
    <row r="7" spans="1:13">
      <c r="A7" s="6"/>
      <c r="B7" s="6"/>
      <c r="D7" t="s">
        <v>461</v>
      </c>
      <c r="E7">
        <f>COUNTIF(CleanData!E:E,D7)</f>
        <v>7</v>
      </c>
      <c r="F7" s="11">
        <f>AVERAGEIF(CleanData!E:E,Analysis!D7,CleanData!I:I)</f>
        <v>10085.714285714286</v>
      </c>
      <c r="H7" t="s">
        <v>450</v>
      </c>
      <c r="I7">
        <f>COUNTIF(CleanData!F:F,Analysis!H7)</f>
        <v>12</v>
      </c>
      <c r="J7" s="11">
        <f>AVERAGEIF(CleanData!F:F,Analysis!H7,CleanData!I:I)</f>
        <v>15311.818181818182</v>
      </c>
    </row>
    <row r="8" spans="1:13" ht="16.5">
      <c r="A8" s="31" t="s">
        <v>482</v>
      </c>
      <c r="B8" s="32"/>
      <c r="D8" t="s">
        <v>456</v>
      </c>
      <c r="E8">
        <f>COUNTIF(CleanData!E:E,D8)</f>
        <v>9</v>
      </c>
      <c r="F8" s="11">
        <f>AVERAGEIF(CleanData!E:E,Analysis!D8,CleanData!I:I)</f>
        <v>12870</v>
      </c>
      <c r="H8" t="s">
        <v>452</v>
      </c>
      <c r="I8">
        <f>COUNTIF(CleanData!F:F,Analysis!H8)</f>
        <v>8</v>
      </c>
      <c r="J8" s="11">
        <f>AVERAGEIF(CleanData!F:F,Analysis!H8,CleanData!I:I)</f>
        <v>12537.5</v>
      </c>
    </row>
    <row r="9" spans="1:13">
      <c r="A9" s="6" t="s">
        <v>474</v>
      </c>
      <c r="B9" s="7">
        <f>SUM(CleanData!I:I)</f>
        <v>824730</v>
      </c>
      <c r="D9" t="s">
        <v>449</v>
      </c>
      <c r="E9">
        <f>COUNTIF(CleanData!E:E,D9)</f>
        <v>9</v>
      </c>
      <c r="F9" s="11">
        <f>AVERAGEIF(CleanData!E:E,Analysis!D9,CleanData!I:I)</f>
        <v>13066.666666666666</v>
      </c>
    </row>
    <row r="10" spans="1:13">
      <c r="A10" s="6" t="s">
        <v>475</v>
      </c>
      <c r="B10" s="8">
        <f>AVERAGE(CleanData!I:I)</f>
        <v>12495.90909090909</v>
      </c>
      <c r="D10" t="s">
        <v>458</v>
      </c>
      <c r="E10">
        <f>COUNTIF(CleanData!E:E,D10)</f>
        <v>11</v>
      </c>
      <c r="F10" s="11">
        <f>AVERAGEIF(CleanData!E:E,Analysis!D10,CleanData!I:I)</f>
        <v>13577.777777777777</v>
      </c>
    </row>
    <row r="11" spans="1:13">
      <c r="A11" s="6" t="s">
        <v>476</v>
      </c>
      <c r="B11" s="8">
        <f>MAX(CleanData!I:I)</f>
        <v>47330</v>
      </c>
    </row>
    <row r="12" spans="1:13" ht="16.5">
      <c r="A12" s="6" t="s">
        <v>477</v>
      </c>
      <c r="B12" s="9">
        <f>MIN(CleanData!I:I)</f>
        <v>5000</v>
      </c>
      <c r="D12" s="31" t="s">
        <v>491</v>
      </c>
      <c r="E12" s="32"/>
      <c r="H12" s="31" t="s">
        <v>496</v>
      </c>
      <c r="I12" s="32"/>
      <c r="L12" s="31" t="s">
        <v>502</v>
      </c>
      <c r="M12" s="32"/>
    </row>
    <row r="13" spans="1:13">
      <c r="A13" s="6" t="s">
        <v>478</v>
      </c>
      <c r="B13" s="9">
        <f>AVERAGEIF(CleanData!G:G,"Active",CleanData!I:I)</f>
        <v>12043.478260869566</v>
      </c>
      <c r="D13" s="6" t="s">
        <v>492</v>
      </c>
      <c r="E13" s="6" t="str">
        <f>_xlfn.XLOOKUP(MAX(E3:E10),E3:E10,D3:D10)</f>
        <v>Sales</v>
      </c>
      <c r="H13" t="s">
        <v>497</v>
      </c>
      <c r="I13" t="str">
        <f>_xlfn.XLOOKUP(MAX(I3:I8),I3:I8,H3:H8)</f>
        <v>Jeddah</v>
      </c>
      <c r="L13" t="s">
        <v>501</v>
      </c>
      <c r="M13" t="str">
        <f>_xlfn.XLOOKUP(MAX(M3:M6),M3:M6,L3:L6)</f>
        <v>Good</v>
      </c>
    </row>
    <row r="14" spans="1:13">
      <c r="A14" s="6" t="s">
        <v>479</v>
      </c>
      <c r="B14" s="9">
        <f>AVERAGEIF(CleanData!G:G,"Inactive",CleanData!I:I)</f>
        <v>13257.142857142857</v>
      </c>
      <c r="D14" s="6" t="s">
        <v>493</v>
      </c>
      <c r="E14" s="6" t="str">
        <f>_xlfn.XLOOKUP(MAX(F3:F10),F3:F10,D3:D10)</f>
        <v>Cloud Tech</v>
      </c>
      <c r="H14" t="s">
        <v>498</v>
      </c>
      <c r="I14" t="str">
        <f>_xlfn.XLOOKUP(MAX(J3:J8),J3:J8,H3:H8)</f>
        <v>Dammam</v>
      </c>
    </row>
    <row r="15" spans="1:13">
      <c r="A15" s="6" t="s">
        <v>480</v>
      </c>
      <c r="B15" s="9">
        <f>AVERAGEIF(CleanData!G:G,"Pending",CleanData!I:I)</f>
        <v>14188.333333333334</v>
      </c>
      <c r="D15" s="6" t="s">
        <v>494</v>
      </c>
      <c r="E15" s="6" t="str">
        <f>_xlfn.XLOOKUP(MIN(F3:F10),F3:F10,D3:D10)</f>
        <v>HR</v>
      </c>
    </row>
    <row r="18" spans="1:4" ht="16.5">
      <c r="A18" s="31" t="s">
        <v>483</v>
      </c>
      <c r="B18" s="32"/>
    </row>
    <row r="19" spans="1:4">
      <c r="A19" t="s">
        <v>484</v>
      </c>
      <c r="B19" s="10">
        <f>AVERAGE(CleanData!D:D)</f>
        <v>40.865671641791046</v>
      </c>
    </row>
    <row r="20" spans="1:4">
      <c r="A20" t="s">
        <v>485</v>
      </c>
      <c r="B20">
        <f>MIN(CleanData!D:D)</f>
        <v>22</v>
      </c>
    </row>
    <row r="21" spans="1:4">
      <c r="A21" t="s">
        <v>486</v>
      </c>
      <c r="B21">
        <f>MAX(CleanData!D:D)</f>
        <v>59</v>
      </c>
    </row>
    <row r="22" spans="1:4">
      <c r="A22" t="s">
        <v>487</v>
      </c>
      <c r="B22">
        <f>COUNTIF(CleanData!M:M,"TRUE")</f>
        <v>40</v>
      </c>
    </row>
    <row r="23" spans="1:4">
      <c r="A23" t="s">
        <v>488</v>
      </c>
      <c r="B23">
        <f>COUNTIF(CleanData!M:M,"FALSE")</f>
        <v>28</v>
      </c>
    </row>
    <row r="28" spans="1:4" ht="16.5" customHeight="1">
      <c r="A28" s="31" t="s">
        <v>503</v>
      </c>
      <c r="B28" s="32"/>
      <c r="C28" s="32"/>
      <c r="D28" s="32"/>
    </row>
    <row r="29" spans="1:4">
      <c r="A29" s="17" t="s">
        <v>447</v>
      </c>
      <c r="B29" s="18" t="s">
        <v>18</v>
      </c>
      <c r="C29" s="18" t="s">
        <v>46</v>
      </c>
      <c r="D29" s="18" t="s">
        <v>100</v>
      </c>
    </row>
    <row r="30" spans="1:4">
      <c r="A30" s="6" t="s">
        <v>459</v>
      </c>
      <c r="B30" s="14">
        <f>COUNTIFS(CleanData!$E:$E,Analysis!$A30,CleanData!$G:$G,Analysis!B$29)</f>
        <v>6</v>
      </c>
      <c r="C30" s="14">
        <f>COUNTIFS(CleanData!$E:$E,Analysis!$A30,CleanData!$G:$G,Analysis!C$29)</f>
        <v>2</v>
      </c>
      <c r="D30" s="14">
        <f>COUNTIFS(CleanData!$E:$E,Analysis!$A30,CleanData!$G:$G,Analysis!D$29)</f>
        <v>0</v>
      </c>
    </row>
    <row r="31" spans="1:4">
      <c r="A31" s="6" t="s">
        <v>453</v>
      </c>
      <c r="B31" s="14">
        <f>COUNTIFS(CleanData!$E:$E,Analysis!$A31,CleanData!$G:$G,Analysis!B$29)</f>
        <v>6</v>
      </c>
      <c r="C31" s="14">
        <f>COUNTIFS(CleanData!$E:$E,Analysis!$A31,CleanData!$G:$G,Analysis!C$29)</f>
        <v>0</v>
      </c>
      <c r="D31" s="14">
        <f>COUNTIFS(CleanData!$E:$E,Analysis!$A31,CleanData!$G:$G,Analysis!D$29)</f>
        <v>1</v>
      </c>
    </row>
    <row r="32" spans="1:4">
      <c r="A32" s="6" t="s">
        <v>462</v>
      </c>
      <c r="B32" s="14">
        <f>COUNTIFS(CleanData!$E:$E,Analysis!$A32,CleanData!$G:$G,Analysis!B$29)</f>
        <v>8</v>
      </c>
      <c r="C32" s="14">
        <f>COUNTIFS(CleanData!$E:$E,Analysis!$A32,CleanData!$G:$G,Analysis!C$29)</f>
        <v>1</v>
      </c>
      <c r="D32" s="14">
        <f>COUNTIFS(CleanData!$E:$E,Analysis!$A32,CleanData!$G:$G,Analysis!D$29)</f>
        <v>0</v>
      </c>
    </row>
    <row r="33" spans="1:4">
      <c r="A33" s="6" t="s">
        <v>451</v>
      </c>
      <c r="B33" s="14">
        <f>COUNTIFS(CleanData!$E:$E,Analysis!$A33,CleanData!$G:$G,Analysis!B$29)</f>
        <v>7</v>
      </c>
      <c r="C33" s="14">
        <f>COUNTIFS(CleanData!$E:$E,Analysis!$A33,CleanData!$G:$G,Analysis!C$29)</f>
        <v>1</v>
      </c>
      <c r="D33" s="14">
        <f>COUNTIFS(CleanData!$E:$E,Analysis!$A33,CleanData!$G:$G,Analysis!D$29)</f>
        <v>1</v>
      </c>
    </row>
    <row r="34" spans="1:4">
      <c r="A34" s="6" t="s">
        <v>461</v>
      </c>
      <c r="B34" s="14">
        <f>COUNTIFS(CleanData!$E:$E,Analysis!$A34,CleanData!$G:$G,Analysis!B$29)</f>
        <v>5</v>
      </c>
      <c r="C34" s="14">
        <f>COUNTIFS(CleanData!$E:$E,Analysis!$A34,CleanData!$G:$G,Analysis!C$29)</f>
        <v>2</v>
      </c>
      <c r="D34" s="14">
        <f>COUNTIFS(CleanData!$E:$E,Analysis!$A34,CleanData!$G:$G,Analysis!D$29)</f>
        <v>0</v>
      </c>
    </row>
    <row r="35" spans="1:4">
      <c r="A35" s="6" t="s">
        <v>456</v>
      </c>
      <c r="B35" s="14">
        <f>COUNTIFS(CleanData!$E:$E,Analysis!$A35,CleanData!$G:$G,Analysis!B$29)</f>
        <v>4</v>
      </c>
      <c r="C35" s="14">
        <f>COUNTIFS(CleanData!$E:$E,Analysis!$A35,CleanData!$G:$G,Analysis!C$29)</f>
        <v>2</v>
      </c>
      <c r="D35" s="14">
        <f>COUNTIFS(CleanData!$E:$E,Analysis!$A35,CleanData!$G:$G,Analysis!D$29)</f>
        <v>3</v>
      </c>
    </row>
    <row r="36" spans="1:4">
      <c r="A36" s="6" t="s">
        <v>449</v>
      </c>
      <c r="B36" s="14">
        <f>COUNTIFS(CleanData!$E:$E,Analysis!$A36,CleanData!$G:$G,Analysis!B$29)</f>
        <v>5</v>
      </c>
      <c r="C36" s="14">
        <f>COUNTIFS(CleanData!$E:$E,Analysis!$A36,CleanData!$G:$G,Analysis!C$29)</f>
        <v>3</v>
      </c>
      <c r="D36" s="14">
        <f>COUNTIFS(CleanData!$E:$E,Analysis!$A36,CleanData!$G:$G,Analysis!D$29)</f>
        <v>1</v>
      </c>
    </row>
    <row r="37" spans="1:4">
      <c r="A37" s="6" t="s">
        <v>458</v>
      </c>
      <c r="B37" s="14">
        <f>COUNTIFS(CleanData!$E:$E,Analysis!$A37,CleanData!$G:$G,Analysis!B$29)</f>
        <v>6</v>
      </c>
      <c r="C37" s="14">
        <f>COUNTIFS(CleanData!$E:$E,Analysis!$A37,CleanData!$G:$G,Analysis!C$29)</f>
        <v>4</v>
      </c>
      <c r="D37" s="14">
        <f>COUNTIFS(CleanData!$E:$E,Analysis!$A37,CleanData!$G:$G,Analysis!D$29)</f>
        <v>1</v>
      </c>
    </row>
    <row r="39" spans="1:4" ht="16.5">
      <c r="A39" s="31" t="s">
        <v>504</v>
      </c>
      <c r="B39" s="32"/>
      <c r="C39" s="32"/>
      <c r="D39" s="32"/>
    </row>
    <row r="40" spans="1:4">
      <c r="A40" s="17" t="s">
        <v>447</v>
      </c>
      <c r="B40" s="18" t="s">
        <v>18</v>
      </c>
      <c r="C40" s="18" t="s">
        <v>46</v>
      </c>
      <c r="D40" s="18" t="s">
        <v>100</v>
      </c>
    </row>
    <row r="41" spans="1:4">
      <c r="A41" s="6" t="s">
        <v>459</v>
      </c>
      <c r="B41" s="20">
        <f>IFERROR(AVERAGEIFS(CleanData!$I:$I,CleanData!$E:$E,Analysis!$A41,CleanData!$G:$G,Analysis!B$40),"N/A")</f>
        <v>15483.333333333334</v>
      </c>
      <c r="C41" s="20">
        <f>IFERROR(AVERAGEIFS(CleanData!$I:$I,CleanData!$E:$E,Analysis!$A41,CleanData!$G:$G,Analysis!C$40),"N/A")</f>
        <v>9900</v>
      </c>
      <c r="D41" s="20" t="str">
        <f>IFERROR(AVERAGEIFS(CleanData!$I:$I,CleanData!$E:$E,Analysis!$A41,CleanData!$G:$G,Analysis!D$40),"N/A")</f>
        <v>N/A</v>
      </c>
    </row>
    <row r="42" spans="1:4">
      <c r="A42" s="6" t="s">
        <v>453</v>
      </c>
      <c r="B42" s="20">
        <f>IFERROR(AVERAGEIFS(CleanData!$I:$I,CleanData!$E:$E,Analysis!$A42,CleanData!$G:$G,Analysis!B$40),"N/A")</f>
        <v>10300</v>
      </c>
      <c r="C42" s="20" t="str">
        <f>IFERROR(AVERAGEIFS(CleanData!$I:$I,CleanData!$E:$E,Analysis!$A42,CleanData!$G:$G,Analysis!C$40),"N/A")</f>
        <v>N/A</v>
      </c>
      <c r="D42" s="20">
        <f>IFERROR(AVERAGEIFS(CleanData!$I:$I,CleanData!$E:$E,Analysis!$A42,CleanData!$G:$G,Analysis!D$40),"N/A")</f>
        <v>12500</v>
      </c>
    </row>
    <row r="43" spans="1:4">
      <c r="A43" s="6" t="s">
        <v>462</v>
      </c>
      <c r="B43" s="20">
        <f>IFERROR(AVERAGEIFS(CleanData!$I:$I,CleanData!$E:$E,Analysis!$A43,CleanData!$G:$G,Analysis!B$40),"N/A")</f>
        <v>15637.5</v>
      </c>
      <c r="C43" s="20">
        <f>IFERROR(AVERAGEIFS(CleanData!$I:$I,CleanData!$E:$E,Analysis!$A43,CleanData!$G:$G,Analysis!C$40),"N/A")</f>
        <v>14900</v>
      </c>
      <c r="D43" s="20" t="str">
        <f>IFERROR(AVERAGEIFS(CleanData!$I:$I,CleanData!$E:$E,Analysis!$A43,CleanData!$G:$G,Analysis!D$40),"N/A")</f>
        <v>N/A</v>
      </c>
    </row>
    <row r="44" spans="1:4">
      <c r="A44" s="6" t="s">
        <v>451</v>
      </c>
      <c r="B44" s="20">
        <f>IFERROR(AVERAGEIFS(CleanData!$I:$I,CleanData!$E:$E,Analysis!$A44,CleanData!$G:$G,Analysis!B$40),"N/A")</f>
        <v>8657.1428571428569</v>
      </c>
      <c r="C44" s="20">
        <f>IFERROR(AVERAGEIFS(CleanData!$I:$I,CleanData!$E:$E,Analysis!$A44,CleanData!$G:$G,Analysis!C$40),"N/A")</f>
        <v>15400</v>
      </c>
      <c r="D44" s="20">
        <f>IFERROR(AVERAGEIFS(CleanData!$I:$I,CleanData!$E:$E,Analysis!$A44,CleanData!$G:$G,Analysis!D$40),"N/A")</f>
        <v>5400</v>
      </c>
    </row>
    <row r="45" spans="1:4">
      <c r="A45" s="6" t="s">
        <v>461</v>
      </c>
      <c r="B45" s="20">
        <f>IFERROR(AVERAGEIFS(CleanData!$I:$I,CleanData!$E:$E,Analysis!$A45,CleanData!$G:$G,Analysis!B$40),"N/A")</f>
        <v>10620</v>
      </c>
      <c r="C45" s="20">
        <f>IFERROR(AVERAGEIFS(CleanData!$I:$I,CleanData!$E:$E,Analysis!$A45,CleanData!$G:$G,Analysis!C$40),"N/A")</f>
        <v>8750</v>
      </c>
      <c r="D45" s="20" t="str">
        <f>IFERROR(AVERAGEIFS(CleanData!$I:$I,CleanData!$E:$E,Analysis!$A45,CleanData!$G:$G,Analysis!D$40),"N/A")</f>
        <v>N/A</v>
      </c>
    </row>
    <row r="46" spans="1:4">
      <c r="A46" s="6" t="s">
        <v>456</v>
      </c>
      <c r="B46" s="20">
        <f>IFERROR(AVERAGEIFS(CleanData!$I:$I,CleanData!$E:$E,Analysis!$A46,CleanData!$G:$G,Analysis!B$40),"N/A")</f>
        <v>8575</v>
      </c>
      <c r="C46" s="20">
        <f>IFERROR(AVERAGEIFS(CleanData!$I:$I,CleanData!$E:$E,Analysis!$A46,CleanData!$G:$G,Analysis!C$40),"N/A")</f>
        <v>10150</v>
      </c>
      <c r="D46" s="20">
        <f>IFERROR(AVERAGEIFS(CleanData!$I:$I,CleanData!$E:$E,Analysis!$A46,CleanData!$G:$G,Analysis!D$40),"N/A")</f>
        <v>20410</v>
      </c>
    </row>
    <row r="47" spans="1:4">
      <c r="A47" s="6" t="s">
        <v>449</v>
      </c>
      <c r="B47" s="20">
        <f>IFERROR(AVERAGEIFS(CleanData!$I:$I,CleanData!$E:$E,Analysis!$A47,CleanData!$G:$G,Analysis!B$40),"N/A")</f>
        <v>12240</v>
      </c>
      <c r="C47" s="20">
        <f>IFERROR(AVERAGEIFS(CleanData!$I:$I,CleanData!$E:$E,Analysis!$A47,CleanData!$G:$G,Analysis!C$40),"N/A")</f>
        <v>16800</v>
      </c>
      <c r="D47" s="20">
        <f>IFERROR(AVERAGEIFS(CleanData!$I:$I,CleanData!$E:$E,Analysis!$A47,CleanData!$G:$G,Analysis!D$40),"N/A")</f>
        <v>6000</v>
      </c>
    </row>
    <row r="48" spans="1:4">
      <c r="A48" s="6" t="s">
        <v>458</v>
      </c>
      <c r="B48" s="20">
        <f>IFERROR(AVERAGEIFS(CleanData!$I:$I,CleanData!$E:$E,Analysis!$A48,CleanData!$G:$G,Analysis!B$40),"N/A")</f>
        <v>13000</v>
      </c>
      <c r="C48" s="20">
        <f>IFERROR(AVERAGEIFS(CleanData!$I:$I,CleanData!$E:$E,Analysis!$A48,CleanData!$G:$G,Analysis!C$40),"N/A")</f>
        <v>14300</v>
      </c>
      <c r="D48" s="20" t="str">
        <f>IFERROR(AVERAGEIFS(CleanData!$I:$I,CleanData!$E:$E,Analysis!$A48,CleanData!$G:$G,Analysis!D$40),"N/A")</f>
        <v>N/A</v>
      </c>
    </row>
    <row r="50" spans="1:5" ht="16.5">
      <c r="A50" s="31" t="s">
        <v>505</v>
      </c>
      <c r="B50" s="32"/>
      <c r="C50" s="32"/>
      <c r="D50" s="32"/>
      <c r="E50" s="32"/>
    </row>
    <row r="51" spans="1:5">
      <c r="A51" s="22" t="s">
        <v>506</v>
      </c>
      <c r="B51" s="22" t="s">
        <v>507</v>
      </c>
      <c r="C51" s="22" t="s">
        <v>508</v>
      </c>
      <c r="D51" s="22" t="s">
        <v>509</v>
      </c>
      <c r="E51" s="22" t="s">
        <v>510</v>
      </c>
    </row>
    <row r="52" spans="1:5">
      <c r="A52" s="6" t="s">
        <v>40</v>
      </c>
      <c r="B52" s="14">
        <f>COUNTIFS(CleanData!L:L,Analysis!A52,CleanData!M:M,TRUE)</f>
        <v>6</v>
      </c>
      <c r="C52" s="14">
        <f>COUNTIFS(CleanData!L:L,Analysis!A52,CleanData!M:M,FALSE)</f>
        <v>5</v>
      </c>
      <c r="D52" s="21">
        <f>B52/SUM($B$52:$B$55)</f>
        <v>0.15</v>
      </c>
      <c r="E52" s="21">
        <f>C52/SUM($C$52:$C$55)</f>
        <v>0.17857142857142858</v>
      </c>
    </row>
    <row r="53" spans="1:5">
      <c r="A53" s="6" t="s">
        <v>31</v>
      </c>
      <c r="B53" s="14">
        <f>COUNTIFS(CleanData!L:L,Analysis!A53,CleanData!M:M,TRUE)</f>
        <v>14</v>
      </c>
      <c r="C53" s="14">
        <f>COUNTIFS(CleanData!L:L,Analysis!A53,CleanData!M:M,FALSE)</f>
        <v>10</v>
      </c>
      <c r="D53" s="21">
        <f>B53/SUM($B$52:$B$55)</f>
        <v>0.35</v>
      </c>
      <c r="E53" s="21">
        <f>C53/SUM($C$52:$C$55)</f>
        <v>0.35714285714285715</v>
      </c>
    </row>
    <row r="54" spans="1:5">
      <c r="A54" s="6" t="s">
        <v>86</v>
      </c>
      <c r="B54" s="14">
        <f>COUNTIFS(CleanData!L:L,Analysis!A54,CleanData!M:M,TRUE)</f>
        <v>14</v>
      </c>
      <c r="C54" s="14">
        <f>COUNTIFS(CleanData!L:L,Analysis!A54,CleanData!M:M,FALSE)</f>
        <v>7</v>
      </c>
      <c r="D54" s="21">
        <f>B54/SUM($B$52:$B$55)</f>
        <v>0.35</v>
      </c>
      <c r="E54" s="21">
        <f>C54/SUM($C$52:$C$55)</f>
        <v>0.25</v>
      </c>
    </row>
    <row r="55" spans="1:5">
      <c r="A55" s="6" t="s">
        <v>22</v>
      </c>
      <c r="B55" s="14">
        <f>COUNTIFS(CleanData!L:L,Analysis!A55,CleanData!M:M,TRUE)</f>
        <v>6</v>
      </c>
      <c r="C55" s="14">
        <f>COUNTIFS(CleanData!L:L,Analysis!A55,CleanData!M:M,FALSE)</f>
        <v>6</v>
      </c>
      <c r="D55" s="21">
        <f>B55/SUM($B$52:$B$55)</f>
        <v>0.15</v>
      </c>
      <c r="E55" s="21">
        <f>C55/SUM($C$52:$C$55)</f>
        <v>0.21428571428571427</v>
      </c>
    </row>
    <row r="57" spans="1:5" ht="16.5">
      <c r="A57" s="31" t="s">
        <v>513</v>
      </c>
      <c r="B57" s="32"/>
      <c r="C57" s="32"/>
      <c r="D57" s="32"/>
    </row>
    <row r="58" spans="1:5">
      <c r="A58" s="17" t="s">
        <v>447</v>
      </c>
      <c r="B58" s="18" t="s">
        <v>18</v>
      </c>
      <c r="C58" s="18" t="s">
        <v>514</v>
      </c>
      <c r="D58" s="18" t="s">
        <v>515</v>
      </c>
    </row>
    <row r="59" spans="1:5">
      <c r="A59" s="6" t="s">
        <v>459</v>
      </c>
      <c r="B59" s="14">
        <f>SUMIFS(CleanData!$I:$I,CleanData!$E:$E,Analysis!$A59,CleanData!$G:$G,Analysis!B$58)</f>
        <v>92900</v>
      </c>
      <c r="C59" s="14">
        <f>COUNTIFS(CleanData!$E:$E,Analysis!$A59,CleanData!$N:$N,Analysis!C$58)</f>
        <v>3</v>
      </c>
      <c r="D59" s="14">
        <f>COUNTIFS(CleanData!$E:$E,Analysis!$A59,CleanData!$O:$O,Analysis!D$58)</f>
        <v>3</v>
      </c>
    </row>
    <row r="60" spans="1:5">
      <c r="A60" s="6" t="s">
        <v>453</v>
      </c>
      <c r="B60" s="14">
        <f>SUMIFS(CleanData!$I:$I,CleanData!$E:$E,Analysis!$A60,CleanData!$G:$G,Analysis!B$58)</f>
        <v>61800</v>
      </c>
      <c r="C60" s="14">
        <f>COUNTIFS(CleanData!$E:$E,Analysis!$A60,CleanData!$N:$N,Analysis!C$58)</f>
        <v>2</v>
      </c>
      <c r="D60" s="14">
        <f>COUNTIFS(CleanData!$E:$E,Analysis!$A60,CleanData!$O:$O,Analysis!D$58)</f>
        <v>1</v>
      </c>
    </row>
    <row r="61" spans="1:5">
      <c r="A61" s="6" t="s">
        <v>462</v>
      </c>
      <c r="B61" s="14">
        <f>SUMIFS(CleanData!$I:$I,CleanData!$E:$E,Analysis!$A61,CleanData!$G:$G,Analysis!B$58)</f>
        <v>125100</v>
      </c>
      <c r="C61" s="14">
        <f>COUNTIFS(CleanData!$E:$E,Analysis!$A61,CleanData!$N:$N,Analysis!C$58)</f>
        <v>3</v>
      </c>
      <c r="D61" s="14">
        <f>COUNTIFS(CleanData!$E:$E,Analysis!$A61,CleanData!$O:$O,Analysis!D$58)</f>
        <v>3</v>
      </c>
    </row>
    <row r="62" spans="1:5">
      <c r="A62" s="6" t="s">
        <v>451</v>
      </c>
      <c r="B62" s="14">
        <f>SUMIFS(CleanData!$I:$I,CleanData!$E:$E,Analysis!$A62,CleanData!$G:$G,Analysis!B$58)</f>
        <v>60600</v>
      </c>
      <c r="C62" s="14">
        <f>COUNTIFS(CleanData!$E:$E,Analysis!$A62,CleanData!$N:$N,Analysis!C$58)</f>
        <v>2</v>
      </c>
      <c r="D62" s="14">
        <f>COUNTIFS(CleanData!$E:$E,Analysis!$A62,CleanData!$O:$O,Analysis!D$58)</f>
        <v>1</v>
      </c>
    </row>
    <row r="63" spans="1:5">
      <c r="A63" s="6" t="s">
        <v>461</v>
      </c>
      <c r="B63" s="14">
        <f>SUMIFS(CleanData!$I:$I,CleanData!$E:$E,Analysis!$A63,CleanData!$G:$G,Analysis!B$58)</f>
        <v>53100</v>
      </c>
      <c r="C63" s="14">
        <f>COUNTIFS(CleanData!$E:$E,Analysis!$A63,CleanData!$N:$N,Analysis!C$58)</f>
        <v>1</v>
      </c>
      <c r="D63" s="14">
        <f>COUNTIFS(CleanData!$E:$E,Analysis!$A63,CleanData!$O:$O,Analysis!D$58)</f>
        <v>0</v>
      </c>
    </row>
    <row r="64" spans="1:5">
      <c r="A64" s="6" t="s">
        <v>456</v>
      </c>
      <c r="B64" s="14">
        <f>SUMIFS(CleanData!$I:$I,CleanData!$E:$E,Analysis!$A64,CleanData!$G:$G,Analysis!B$58)</f>
        <v>34300</v>
      </c>
      <c r="C64" s="14">
        <f>COUNTIFS(CleanData!$E:$E,Analysis!$A64,CleanData!$N:$N,Analysis!C$58)</f>
        <v>3</v>
      </c>
      <c r="D64" s="14">
        <f>COUNTIFS(CleanData!$E:$E,Analysis!$A64,CleanData!$O:$O,Analysis!D$58)</f>
        <v>0</v>
      </c>
    </row>
    <row r="65" spans="1:4">
      <c r="A65" s="6" t="s">
        <v>449</v>
      </c>
      <c r="B65" s="14">
        <f>SUMIFS(CleanData!$I:$I,CleanData!$E:$E,Analysis!$A65,CleanData!$G:$G,Analysis!B$58)</f>
        <v>61200</v>
      </c>
      <c r="C65" s="14">
        <f>COUNTIFS(CleanData!$E:$E,Analysis!$A65,CleanData!$N:$N,Analysis!C$58)</f>
        <v>2</v>
      </c>
      <c r="D65" s="14">
        <f>COUNTIFS(CleanData!$E:$E,Analysis!$A65,CleanData!$O:$O,Analysis!D$58)</f>
        <v>1</v>
      </c>
    </row>
    <row r="66" spans="1:4">
      <c r="A66" s="6" t="s">
        <v>458</v>
      </c>
      <c r="B66" s="14">
        <f>SUMIFS(CleanData!$I:$I,CleanData!$E:$E,Analysis!$A66,CleanData!$G:$G,Analysis!B$58)</f>
        <v>65000</v>
      </c>
      <c r="C66" s="14">
        <f>COUNTIFS(CleanData!$E:$E,Analysis!$A66,CleanData!$N:$N,Analysis!C$58)</f>
        <v>2</v>
      </c>
      <c r="D66" s="14">
        <f>COUNTIFS(CleanData!$E:$E,Analysis!$A66,CleanData!$O:$O,Analysis!D$58)</f>
        <v>0</v>
      </c>
    </row>
  </sheetData>
  <mergeCells count="13">
    <mergeCell ref="A57:D57"/>
    <mergeCell ref="L12:M12"/>
    <mergeCell ref="H1:J1"/>
    <mergeCell ref="H12:I12"/>
    <mergeCell ref="L1:M1"/>
    <mergeCell ref="A1:B1"/>
    <mergeCell ref="A8:B8"/>
    <mergeCell ref="A39:D39"/>
    <mergeCell ref="A28:D28"/>
    <mergeCell ref="A18:B18"/>
    <mergeCell ref="D12:E12"/>
    <mergeCell ref="A50:E50"/>
    <mergeCell ref="D1:E1"/>
  </mergeCell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2FADA-E3FB-49E6-9D95-BA70AD61E898}">
  <dimension ref="A1:P10"/>
  <sheetViews>
    <sheetView tabSelected="1" zoomScale="49" zoomScaleNormal="100" workbookViewId="0">
      <selection activeCell="E47" sqref="E47"/>
    </sheetView>
  </sheetViews>
  <sheetFormatPr defaultRowHeight="14"/>
  <cols>
    <col min="1" max="1" width="17.58203125" bestFit="1" customWidth="1"/>
    <col min="2" max="2" width="25.08203125" bestFit="1" customWidth="1"/>
    <col min="5" max="5" width="12.9140625" bestFit="1" customWidth="1"/>
    <col min="6" max="6" width="15.83203125" bestFit="1" customWidth="1"/>
    <col min="7" max="7" width="17.58203125" bestFit="1" customWidth="1"/>
    <col min="8" max="8" width="20.33203125" bestFit="1" customWidth="1"/>
    <col min="9" max="9" width="19.83203125" bestFit="1" customWidth="1"/>
    <col min="10" max="10" width="15.58203125" bestFit="1" customWidth="1"/>
    <col min="11" max="11" width="5.9140625" bestFit="1" customWidth="1"/>
    <col min="12" max="12" width="25.08203125" bestFit="1" customWidth="1"/>
    <col min="13" max="13" width="21.5" bestFit="1" customWidth="1"/>
    <col min="14" max="14" width="7.58203125" bestFit="1" customWidth="1"/>
    <col min="15" max="15" width="8.9140625" bestFit="1" customWidth="1"/>
    <col min="16" max="16" width="14" bestFit="1" customWidth="1"/>
  </cols>
  <sheetData>
    <row r="1" spans="1:16">
      <c r="A1" s="23" t="s">
        <v>516</v>
      </c>
      <c r="B1" t="s">
        <v>518</v>
      </c>
      <c r="G1" s="23" t="s">
        <v>516</v>
      </c>
      <c r="H1" t="s">
        <v>519</v>
      </c>
      <c r="L1" s="23" t="s">
        <v>518</v>
      </c>
      <c r="M1" s="23" t="s">
        <v>520</v>
      </c>
    </row>
    <row r="2" spans="1:16">
      <c r="A2" s="12" t="s">
        <v>462</v>
      </c>
      <c r="B2" s="33">
        <v>9</v>
      </c>
      <c r="G2" s="12" t="s">
        <v>462</v>
      </c>
      <c r="H2" s="11">
        <v>15555.555555555555</v>
      </c>
      <c r="L2" s="23" t="s">
        <v>516</v>
      </c>
      <c r="M2" t="s">
        <v>521</v>
      </c>
      <c r="N2" t="s">
        <v>188</v>
      </c>
      <c r="O2" t="s">
        <v>522</v>
      </c>
      <c r="P2" t="s">
        <v>517</v>
      </c>
    </row>
    <row r="3" spans="1:16">
      <c r="A3" s="12" t="s">
        <v>459</v>
      </c>
      <c r="B3" s="33">
        <v>8</v>
      </c>
      <c r="G3" s="12" t="s">
        <v>459</v>
      </c>
      <c r="H3" s="11">
        <v>14685.714285714286</v>
      </c>
      <c r="L3" s="12" t="s">
        <v>86</v>
      </c>
      <c r="M3" s="33">
        <v>7</v>
      </c>
      <c r="N3" s="33">
        <v>14</v>
      </c>
      <c r="O3" s="33"/>
      <c r="P3" s="33">
        <v>21</v>
      </c>
    </row>
    <row r="4" spans="1:16">
      <c r="A4" s="12" t="s">
        <v>453</v>
      </c>
      <c r="B4" s="33">
        <v>7</v>
      </c>
      <c r="G4" s="12" t="s">
        <v>453</v>
      </c>
      <c r="H4" s="11">
        <v>10614.285714285714</v>
      </c>
      <c r="L4" s="12" t="s">
        <v>40</v>
      </c>
      <c r="M4" s="33">
        <v>5</v>
      </c>
      <c r="N4" s="33">
        <v>6</v>
      </c>
      <c r="O4" s="33">
        <v>1</v>
      </c>
      <c r="P4" s="33">
        <v>12</v>
      </c>
    </row>
    <row r="5" spans="1:16">
      <c r="A5" s="12" t="s">
        <v>451</v>
      </c>
      <c r="B5" s="33">
        <v>9</v>
      </c>
      <c r="G5" s="12" t="s">
        <v>451</v>
      </c>
      <c r="H5" s="11">
        <v>9044.4444444444453</v>
      </c>
      <c r="L5" s="12" t="s">
        <v>31</v>
      </c>
      <c r="M5" s="33">
        <v>10</v>
      </c>
      <c r="N5" s="33">
        <v>14</v>
      </c>
      <c r="O5" s="33"/>
      <c r="P5" s="33">
        <v>24</v>
      </c>
    </row>
    <row r="6" spans="1:16">
      <c r="A6" s="12" t="s">
        <v>461</v>
      </c>
      <c r="B6" s="33">
        <v>7</v>
      </c>
      <c r="G6" s="12" t="s">
        <v>461</v>
      </c>
      <c r="H6" s="11">
        <v>10085.714285714286</v>
      </c>
      <c r="L6" s="12" t="s">
        <v>22</v>
      </c>
      <c r="M6" s="33">
        <v>6</v>
      </c>
      <c r="N6" s="33">
        <v>6</v>
      </c>
      <c r="O6" s="33"/>
      <c r="P6" s="33">
        <v>12</v>
      </c>
    </row>
    <row r="7" spans="1:16">
      <c r="A7" s="12" t="s">
        <v>456</v>
      </c>
      <c r="B7" s="33">
        <v>9</v>
      </c>
      <c r="G7" s="12" t="s">
        <v>456</v>
      </c>
      <c r="H7" s="11">
        <v>12870</v>
      </c>
      <c r="L7" s="12" t="s">
        <v>517</v>
      </c>
      <c r="M7" s="33">
        <v>28</v>
      </c>
      <c r="N7" s="33">
        <v>40</v>
      </c>
      <c r="O7" s="33">
        <v>1</v>
      </c>
      <c r="P7" s="33">
        <v>69</v>
      </c>
    </row>
    <row r="8" spans="1:16">
      <c r="A8" s="12" t="s">
        <v>449</v>
      </c>
      <c r="B8" s="33">
        <v>9</v>
      </c>
      <c r="G8" s="12" t="s">
        <v>449</v>
      </c>
      <c r="H8" s="11">
        <v>13066.666666666666</v>
      </c>
    </row>
    <row r="9" spans="1:16">
      <c r="A9" s="12" t="s">
        <v>458</v>
      </c>
      <c r="B9" s="33">
        <v>11</v>
      </c>
      <c r="G9" s="12" t="s">
        <v>458</v>
      </c>
      <c r="H9" s="11">
        <v>13577.777777777777</v>
      </c>
    </row>
    <row r="10" spans="1:16">
      <c r="A10" s="12" t="s">
        <v>517</v>
      </c>
      <c r="B10" s="33">
        <v>69</v>
      </c>
      <c r="G10" s="12" t="s">
        <v>517</v>
      </c>
      <c r="H10" s="11">
        <v>12495.90909090909</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37B33-BA53-4D40-8E21-56BDFA545E02}">
  <dimension ref="A1:J63"/>
  <sheetViews>
    <sheetView zoomScale="53" workbookViewId="0">
      <selection activeCell="I67" sqref="I67"/>
    </sheetView>
  </sheetViews>
  <sheetFormatPr defaultRowHeight="14"/>
  <cols>
    <col min="1" max="1" width="15.83203125" bestFit="1" customWidth="1"/>
    <col min="3" max="3" width="16.9140625" bestFit="1" customWidth="1"/>
    <col min="4" max="4" width="14.4140625" bestFit="1" customWidth="1"/>
    <col min="5" max="5" width="18.75" customWidth="1"/>
    <col min="6" max="6" width="18.4140625" bestFit="1" customWidth="1"/>
    <col min="7" max="7" width="18.33203125" bestFit="1" customWidth="1"/>
    <col min="9" max="9" width="15.33203125" bestFit="1" customWidth="1"/>
  </cols>
  <sheetData>
    <row r="1" spans="1:10" ht="30">
      <c r="A1" s="27" t="s">
        <v>523</v>
      </c>
      <c r="B1" s="28"/>
      <c r="C1" s="28"/>
      <c r="D1" s="28"/>
      <c r="E1" s="28"/>
      <c r="F1" s="28"/>
      <c r="G1" s="28"/>
      <c r="H1" s="28"/>
      <c r="I1" s="28"/>
      <c r="J1" s="28"/>
    </row>
    <row r="2" spans="1:10">
      <c r="D2" s="26" t="s">
        <v>524</v>
      </c>
      <c r="E2" s="26"/>
      <c r="F2" s="26"/>
      <c r="G2" s="26"/>
      <c r="H2" s="26"/>
      <c r="I2" s="26"/>
    </row>
    <row r="4" spans="1:10">
      <c r="A4" s="25" t="s">
        <v>470</v>
      </c>
      <c r="C4" s="25" t="s">
        <v>471</v>
      </c>
      <c r="E4" s="25" t="s">
        <v>475</v>
      </c>
      <c r="G4" s="25" t="s">
        <v>487</v>
      </c>
      <c r="I4" s="25" t="s">
        <v>514</v>
      </c>
    </row>
    <row r="5" spans="1:10">
      <c r="A5">
        <f>Analysis!B2</f>
        <v>69</v>
      </c>
      <c r="C5">
        <f>Analysis!B3</f>
        <v>47</v>
      </c>
      <c r="E5" s="24">
        <f>Analysis!B10</f>
        <v>12495.90909090909</v>
      </c>
      <c r="G5">
        <f>Analysis!B22</f>
        <v>40</v>
      </c>
      <c r="I5">
        <f>COUNTIF(CleanData!N:N,"Needs Attention")</f>
        <v>18</v>
      </c>
    </row>
    <row r="6" spans="1:10">
      <c r="D6" s="24"/>
    </row>
    <row r="7" spans="1:10">
      <c r="D7" s="24"/>
    </row>
    <row r="8" spans="1:10">
      <c r="D8" s="24"/>
    </row>
    <row r="9" spans="1:10">
      <c r="D9" s="24"/>
    </row>
    <row r="10" spans="1:10">
      <c r="D10" s="24"/>
    </row>
    <row r="11" spans="1:10">
      <c r="D11" s="24"/>
    </row>
    <row r="12" spans="1:10">
      <c r="D12" s="24"/>
    </row>
    <row r="13" spans="1:10">
      <c r="D13" s="24"/>
    </row>
    <row r="14" spans="1:10">
      <c r="D14" s="24"/>
    </row>
    <row r="15" spans="1:10">
      <c r="D15" s="24"/>
    </row>
    <row r="16" spans="1:10">
      <c r="D16" s="24"/>
    </row>
    <row r="17" spans="4:4">
      <c r="D17" s="24"/>
    </row>
    <row r="18" spans="4:4">
      <c r="D18" s="24"/>
    </row>
    <row r="19" spans="4:4">
      <c r="D19" s="24"/>
    </row>
    <row r="57" spans="1:7" ht="18">
      <c r="A57" s="30" t="s">
        <v>525</v>
      </c>
      <c r="B57" s="30"/>
      <c r="C57" s="30"/>
    </row>
    <row r="58" spans="1:7">
      <c r="A58" s="29" t="s">
        <v>526</v>
      </c>
      <c r="B58" s="29"/>
      <c r="C58" s="29"/>
      <c r="D58" s="29"/>
      <c r="E58" s="29"/>
      <c r="F58" s="29"/>
      <c r="G58" s="29"/>
    </row>
    <row r="59" spans="1:7">
      <c r="A59" s="29" t="s">
        <v>527</v>
      </c>
      <c r="B59" s="29"/>
      <c r="C59" s="29"/>
      <c r="D59" s="29"/>
      <c r="E59" s="29"/>
      <c r="F59" s="29"/>
    </row>
    <row r="60" spans="1:7">
      <c r="A60" s="29" t="s">
        <v>528</v>
      </c>
      <c r="B60" s="29"/>
      <c r="C60" s="29"/>
      <c r="D60" s="29"/>
      <c r="E60" s="29"/>
      <c r="F60" s="29"/>
    </row>
    <row r="61" spans="1:7">
      <c r="A61" s="29" t="s">
        <v>529</v>
      </c>
      <c r="B61" s="29"/>
      <c r="C61" s="29"/>
      <c r="D61" s="29"/>
      <c r="E61" s="29"/>
      <c r="F61" s="29"/>
    </row>
    <row r="62" spans="1:7">
      <c r="A62" s="29" t="s">
        <v>530</v>
      </c>
      <c r="B62" s="29"/>
      <c r="C62" s="29"/>
      <c r="D62" s="29"/>
      <c r="E62" s="29"/>
      <c r="F62" s="29"/>
      <c r="G62" s="29"/>
    </row>
    <row r="63" spans="1:7">
      <c r="A63" s="29" t="s">
        <v>531</v>
      </c>
      <c r="B63" s="29"/>
      <c r="C63" s="29"/>
      <c r="D63" s="29"/>
      <c r="E63" s="29"/>
      <c r="F63" s="29"/>
      <c r="G63" s="29"/>
    </row>
  </sheetData>
  <mergeCells count="9">
    <mergeCell ref="A63:G63"/>
    <mergeCell ref="D2:I2"/>
    <mergeCell ref="A1:J1"/>
    <mergeCell ref="A58:G58"/>
    <mergeCell ref="A62:G62"/>
    <mergeCell ref="A57:C57"/>
    <mergeCell ref="A59:F59"/>
    <mergeCell ref="A60:F60"/>
    <mergeCell ref="A61:F6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70E148-5D64-4110-987A-6F47EFD901B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CleanData</vt:lpstr>
      <vt:lpstr>Analysis</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SUMAIYA AHMED</cp:lastModifiedBy>
  <dcterms:modified xsi:type="dcterms:W3CDTF">2026-08-28T22:10:01Z</dcterms:modified>
</cp:coreProperties>
</file>