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cstedusa-my.sharepoint.com/personal/221220359_student_um_edu_sa/Documents/سطح المكتب/"/>
    </mc:Choice>
  </mc:AlternateContent>
  <xr:revisionPtr revIDLastSave="2" documentId="8_{73101325-91B5-4ACA-8AEC-6C04AA44F897}" xr6:coauthVersionLast="47" xr6:coauthVersionMax="47" xr10:uidLastSave="{B3950EC9-8007-45C6-9726-1C0DF2F729AB}"/>
  <bookViews>
    <workbookView xWindow="-110" yWindow="-110" windowWidth="19420" windowHeight="12220" xr2:uid="{ED4DBBE9-FFB5-4CE2-B920-566033E0B1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1" l="1"/>
  <c r="C21" i="1"/>
  <c r="C20" i="1"/>
  <c r="C19" i="1"/>
  <c r="G6" i="1"/>
  <c r="G7" i="1"/>
  <c r="G8" i="1"/>
  <c r="G9" i="1"/>
  <c r="G10" i="1"/>
  <c r="G11" i="1"/>
  <c r="G12" i="1"/>
  <c r="G13" i="1"/>
  <c r="G14" i="1"/>
  <c r="G15" i="1"/>
  <c r="G16" i="1" l="1"/>
  <c r="E16" i="1" l="1"/>
</calcChain>
</file>

<file path=xl/sharedStrings.xml><?xml version="1.0" encoding="utf-8"?>
<sst xmlns="http://schemas.openxmlformats.org/spreadsheetml/2006/main" count="47" uniqueCount="35">
  <si>
    <t>Date</t>
  </si>
  <si>
    <t>Product</t>
  </si>
  <si>
    <t>Category</t>
  </si>
  <si>
    <t>Quantity</t>
  </si>
  <si>
    <t>Unit Price</t>
  </si>
  <si>
    <t>Salesperson</t>
  </si>
  <si>
    <t>Laptop Stand</t>
  </si>
  <si>
    <t>Electronics</t>
  </si>
  <si>
    <t>Ahmed</t>
  </si>
  <si>
    <t>Notebook</t>
  </si>
  <si>
    <t>Stationery</t>
  </si>
  <si>
    <t>Sara</t>
  </si>
  <si>
    <t>USB Cable</t>
  </si>
  <si>
    <t>Ali</t>
  </si>
  <si>
    <t>Office Chair</t>
  </si>
  <si>
    <t>Furniture</t>
  </si>
  <si>
    <t>Omar</t>
  </si>
  <si>
    <t>Desk Lamp</t>
  </si>
  <si>
    <t>Maya</t>
  </si>
  <si>
    <t>Mouse</t>
  </si>
  <si>
    <t>Backpack</t>
  </si>
  <si>
    <t>Accessories</t>
  </si>
  <si>
    <t>Keyboard</t>
  </si>
  <si>
    <t>Printer</t>
  </si>
  <si>
    <t>Headphones</t>
  </si>
  <si>
    <t>Total</t>
  </si>
  <si>
    <t>Total Revenue</t>
  </si>
  <si>
    <t>Highest Sale</t>
  </si>
  <si>
    <t>Lowest Sale</t>
  </si>
  <si>
    <t>Total Transactions</t>
  </si>
  <si>
    <t>Summary</t>
  </si>
  <si>
    <t>Value</t>
  </si>
  <si>
    <t>Total Sales</t>
  </si>
  <si>
    <t>Monthly Sales Report</t>
  </si>
  <si>
    <t>Best Selling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</si>
</sst>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4" fontId="0" fillId="0" borderId="0" xfId="1" applyFont="1" applyAlignment="1">
      <alignment vertical="center" wrapText="1"/>
    </xf>
    <xf numFmtId="44" fontId="3" fillId="0" borderId="0" xfId="0" applyNumberFormat="1" applyFont="1" applyAlignment="1">
      <alignment horizontal="center" vertical="center" wrapText="1"/>
    </xf>
    <xf numFmtId="44" fontId="0" fillId="0" borderId="0" xfId="0" applyNumberFormat="1" applyAlignment="1">
      <alignment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44" fontId="0" fillId="3" borderId="1" xfId="1" applyNumberFormat="1" applyFont="1" applyFill="1" applyBorder="1" applyAlignment="1">
      <alignment vertical="center" wrapText="1"/>
    </xf>
    <xf numFmtId="44" fontId="0" fillId="0" borderId="1" xfId="1" applyNumberFormat="1" applyFont="1" applyBorder="1" applyAlignment="1">
      <alignment vertical="center" wrapText="1"/>
    </xf>
  </cellXfs>
  <cellStyles count="2">
    <cellStyle name="Currency" xfId="1" builtinId="4"/>
    <cellStyle name="Normal" xfId="0" builtinId="0"/>
  </cellStyles>
  <dxfs count="16">
    <dxf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</dxf>
    <dxf>
      <numFmt numFmtId="34" formatCode="_(&quot;$&quot;* #,##0.00_);_(&quot;$&quot;* \(#,##0.00\);_(&quot;$&quot;* &quot;-&quot;??_);_(@_)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E0F862-8566-4D12-A586-B3B49600F119}" name="Table2" displayName="Table2" ref="A5:G16" totalsRowCount="1" headerRowDxfId="11" dataDxfId="12">
  <autoFilter ref="A5:G15" xr:uid="{83E0F862-8566-4D12-A586-B3B49600F11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</autoFilter>
  <tableColumns count="7">
    <tableColumn id="1" xr3:uid="{3DF5C38D-4AAD-496D-B143-BABC81E507EB}" name="Date" totalsRowLabel="Total" dataDxfId="15" totalsRowDxfId="7"/>
    <tableColumn id="2" xr3:uid="{36E2156C-2C3A-4509-BAA7-162DB7E1520E}" name="Product" dataDxfId="14" totalsRowDxfId="6"/>
    <tableColumn id="3" xr3:uid="{71D7278C-88FE-41D2-A1D1-5C8C801CC043}" name="Category" dataDxfId="13" totalsRowDxfId="5"/>
    <tableColumn id="4" xr3:uid="{6279C6FF-7FAE-4DC2-9341-DEE3F472E562}" name="Quantity" dataDxfId="10" totalsRowDxfId="4"/>
    <tableColumn id="5" xr3:uid="{A8DC15DB-7E68-454F-A33B-851A7E3A63A7}" name="Unit Price" totalsRowFunction="custom" dataDxfId="8" totalsRowDxfId="2" dataCellStyle="Currency">
      <totalsRowFormula>SUM(Table2[Unit Price])</totalsRowFormula>
    </tableColumn>
    <tableColumn id="6" xr3:uid="{63C40DF5-2921-49FB-912D-F02B6F756190}" name="Salesperson" dataDxfId="9" totalsRowDxfId="3"/>
    <tableColumn id="7" xr3:uid="{C1E95C8F-4882-4E74-9014-44FD590E630A}" name="Total Sales" totalsRowFunction="custom" dataDxfId="1" totalsRowDxfId="0">
      <calculatedColumnFormula>Table2[[#This Row],[Unit Price]]*Table2[[#This Row],[Quantity]]</calculatedColumnFormula>
      <totalsRowFormula>SUM(Table2[Total Sales])</totalsRow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5FD6E-9726-4F71-9F35-ADFA3C04AEA2}">
  <dimension ref="A1:G23"/>
  <sheetViews>
    <sheetView tabSelected="1" zoomScale="90" workbookViewId="0">
      <selection activeCell="B26" sqref="B26"/>
    </sheetView>
  </sheetViews>
  <sheetFormatPr defaultRowHeight="14.5" x14ac:dyDescent="0.35"/>
  <cols>
    <col min="1" max="1" width="10.6328125" customWidth="1"/>
    <col min="2" max="2" width="16.81640625" bestFit="1" customWidth="1"/>
    <col min="3" max="3" width="14.453125" customWidth="1"/>
    <col min="4" max="4" width="13.90625" customWidth="1"/>
    <col min="5" max="5" width="15.1796875" customWidth="1"/>
    <col min="6" max="6" width="18" customWidth="1"/>
    <col min="7" max="7" width="14.54296875" customWidth="1"/>
  </cols>
  <sheetData>
    <row r="1" spans="1:7" ht="31.5" customHeight="1" x14ac:dyDescent="0.35">
      <c r="A1" s="10" t="s">
        <v>33</v>
      </c>
      <c r="B1" s="10"/>
      <c r="C1" s="10"/>
      <c r="D1" s="10"/>
      <c r="E1" s="10"/>
      <c r="F1" s="10"/>
      <c r="G1" s="10"/>
    </row>
    <row r="5" spans="1:7" x14ac:dyDescent="0.35">
      <c r="A5" s="1" t="s">
        <v>0</v>
      </c>
      <c r="B5" s="1" t="s">
        <v>1</v>
      </c>
      <c r="C5" s="1" t="s">
        <v>2</v>
      </c>
      <c r="D5" s="1" t="s">
        <v>3</v>
      </c>
      <c r="E5" s="5" t="s">
        <v>4</v>
      </c>
      <c r="F5" s="1" t="s">
        <v>5</v>
      </c>
      <c r="G5" s="1" t="s">
        <v>32</v>
      </c>
    </row>
    <row r="6" spans="1:7" x14ac:dyDescent="0.35">
      <c r="A6" s="2">
        <v>46204</v>
      </c>
      <c r="B6" s="3" t="s">
        <v>6</v>
      </c>
      <c r="C6" s="3" t="s">
        <v>7</v>
      </c>
      <c r="D6" s="3">
        <v>3</v>
      </c>
      <c r="E6" s="4">
        <v>45</v>
      </c>
      <c r="F6" s="3" t="s">
        <v>8</v>
      </c>
      <c r="G6" s="6">
        <f>Table2[[#This Row],[Unit Price]]*Table2[[#This Row],[Quantity]]</f>
        <v>135</v>
      </c>
    </row>
    <row r="7" spans="1:7" x14ac:dyDescent="0.35">
      <c r="A7" s="2">
        <v>46204</v>
      </c>
      <c r="B7" s="3" t="s">
        <v>9</v>
      </c>
      <c r="C7" s="3" t="s">
        <v>10</v>
      </c>
      <c r="D7" s="3">
        <v>15</v>
      </c>
      <c r="E7" s="4">
        <v>5</v>
      </c>
      <c r="F7" s="3" t="s">
        <v>11</v>
      </c>
      <c r="G7" s="6">
        <f>Table2[[#This Row],[Unit Price]]*Table2[[#This Row],[Quantity]]</f>
        <v>75</v>
      </c>
    </row>
    <row r="8" spans="1:7" x14ac:dyDescent="0.35">
      <c r="A8" s="2">
        <v>46205</v>
      </c>
      <c r="B8" s="3" t="s">
        <v>12</v>
      </c>
      <c r="C8" s="3" t="s">
        <v>7</v>
      </c>
      <c r="D8" s="3">
        <v>10</v>
      </c>
      <c r="E8" s="4">
        <v>12</v>
      </c>
      <c r="F8" s="3" t="s">
        <v>13</v>
      </c>
      <c r="G8" s="6">
        <f>Table2[[#This Row],[Unit Price]]*Table2[[#This Row],[Quantity]]</f>
        <v>120</v>
      </c>
    </row>
    <row r="9" spans="1:7" x14ac:dyDescent="0.35">
      <c r="A9" s="2">
        <v>46206</v>
      </c>
      <c r="B9" s="3" t="s">
        <v>14</v>
      </c>
      <c r="C9" s="3" t="s">
        <v>15</v>
      </c>
      <c r="D9" s="3">
        <v>2</v>
      </c>
      <c r="E9" s="4">
        <v>140</v>
      </c>
      <c r="F9" s="3" t="s">
        <v>16</v>
      </c>
      <c r="G9" s="6">
        <f>Table2[[#This Row],[Unit Price]]*Table2[[#This Row],[Quantity]]</f>
        <v>280</v>
      </c>
    </row>
    <row r="10" spans="1:7" x14ac:dyDescent="0.35">
      <c r="A10" s="2">
        <v>46206</v>
      </c>
      <c r="B10" s="3" t="s">
        <v>17</v>
      </c>
      <c r="C10" s="3" t="s">
        <v>15</v>
      </c>
      <c r="D10" s="3">
        <v>4</v>
      </c>
      <c r="E10" s="4">
        <v>35</v>
      </c>
      <c r="F10" s="3" t="s">
        <v>18</v>
      </c>
      <c r="G10" s="6">
        <f>Table2[[#This Row],[Unit Price]]*Table2[[#This Row],[Quantity]]</f>
        <v>140</v>
      </c>
    </row>
    <row r="11" spans="1:7" x14ac:dyDescent="0.35">
      <c r="A11" s="2">
        <v>46207</v>
      </c>
      <c r="B11" s="3" t="s">
        <v>19</v>
      </c>
      <c r="C11" s="3" t="s">
        <v>7</v>
      </c>
      <c r="D11" s="3">
        <v>8</v>
      </c>
      <c r="E11" s="4">
        <v>22</v>
      </c>
      <c r="F11" s="3" t="s">
        <v>11</v>
      </c>
      <c r="G11" s="6">
        <f>Table2[[#This Row],[Unit Price]]*Table2[[#This Row],[Quantity]]</f>
        <v>176</v>
      </c>
    </row>
    <row r="12" spans="1:7" x14ac:dyDescent="0.35">
      <c r="A12" s="2">
        <v>46208</v>
      </c>
      <c r="B12" s="3" t="s">
        <v>20</v>
      </c>
      <c r="C12" s="3" t="s">
        <v>21</v>
      </c>
      <c r="D12" s="3">
        <v>5</v>
      </c>
      <c r="E12" s="4">
        <v>40</v>
      </c>
      <c r="F12" s="3" t="s">
        <v>8</v>
      </c>
      <c r="G12" s="6">
        <f>Table2[[#This Row],[Unit Price]]*Table2[[#This Row],[Quantity]]</f>
        <v>200</v>
      </c>
    </row>
    <row r="13" spans="1:7" x14ac:dyDescent="0.35">
      <c r="A13" s="2">
        <v>46208</v>
      </c>
      <c r="B13" s="3" t="s">
        <v>22</v>
      </c>
      <c r="C13" s="3" t="s">
        <v>7</v>
      </c>
      <c r="D13" s="3">
        <v>6</v>
      </c>
      <c r="E13" s="4">
        <v>50</v>
      </c>
      <c r="F13" s="3" t="s">
        <v>13</v>
      </c>
      <c r="G13" s="6">
        <f>Table2[[#This Row],[Unit Price]]*Table2[[#This Row],[Quantity]]</f>
        <v>300</v>
      </c>
    </row>
    <row r="14" spans="1:7" x14ac:dyDescent="0.35">
      <c r="A14" s="2">
        <v>46209</v>
      </c>
      <c r="B14" s="3" t="s">
        <v>23</v>
      </c>
      <c r="C14" s="3" t="s">
        <v>7</v>
      </c>
      <c r="D14" s="3">
        <v>1</v>
      </c>
      <c r="E14" s="4">
        <v>180</v>
      </c>
      <c r="F14" s="3" t="s">
        <v>16</v>
      </c>
      <c r="G14" s="6">
        <f>Table2[[#This Row],[Unit Price]]*Table2[[#This Row],[Quantity]]</f>
        <v>180</v>
      </c>
    </row>
    <row r="15" spans="1:7" x14ac:dyDescent="0.35">
      <c r="A15" s="2">
        <v>46209</v>
      </c>
      <c r="B15" s="3" t="s">
        <v>24</v>
      </c>
      <c r="C15" s="3" t="s">
        <v>7</v>
      </c>
      <c r="D15" s="3">
        <v>4</v>
      </c>
      <c r="E15" s="4">
        <v>65</v>
      </c>
      <c r="F15" s="3" t="s">
        <v>18</v>
      </c>
      <c r="G15" s="6">
        <f>Table2[[#This Row],[Unit Price]]*Table2[[#This Row],[Quantity]]</f>
        <v>260</v>
      </c>
    </row>
    <row r="16" spans="1:7" x14ac:dyDescent="0.35">
      <c r="A16" s="3" t="s">
        <v>25</v>
      </c>
      <c r="B16" s="3"/>
      <c r="C16" s="3"/>
      <c r="D16" s="3"/>
      <c r="E16" s="6">
        <f>SUM(Table2[Unit Price])</f>
        <v>594</v>
      </c>
      <c r="F16" s="3"/>
      <c r="G16" s="6">
        <f>SUM(Table2[Total Sales])</f>
        <v>1866</v>
      </c>
    </row>
    <row r="18" spans="2:3" x14ac:dyDescent="0.35">
      <c r="B18" s="7" t="s">
        <v>30</v>
      </c>
      <c r="C18" s="7" t="s">
        <v>31</v>
      </c>
    </row>
    <row r="19" spans="2:3" x14ac:dyDescent="0.35">
      <c r="B19" s="8" t="s">
        <v>26</v>
      </c>
      <c r="C19" s="11">
        <f>Table2[[#Totals],[Total Sales]]</f>
        <v>1866</v>
      </c>
    </row>
    <row r="20" spans="2:3" x14ac:dyDescent="0.35">
      <c r="B20" s="9" t="s">
        <v>27</v>
      </c>
      <c r="C20" s="12">
        <f>MAX(Table2[Total Sales])</f>
        <v>300</v>
      </c>
    </row>
    <row r="21" spans="2:3" x14ac:dyDescent="0.35">
      <c r="B21" s="8" t="s">
        <v>28</v>
      </c>
      <c r="C21" s="11">
        <f>MIN(Table2[Total Sales])</f>
        <v>75</v>
      </c>
    </row>
    <row r="22" spans="2:3" x14ac:dyDescent="0.35">
      <c r="B22" s="9" t="s">
        <v>29</v>
      </c>
      <c r="C22" s="12">
        <f>COUNTA(Table2[Product])</f>
        <v>10</v>
      </c>
    </row>
    <row r="23" spans="2:3" ht="16.5" customHeight="1" x14ac:dyDescent="0.35">
      <c r="B23" s="8" t="s">
        <v>34</v>
      </c>
      <c r="C23" s="8" t="s">
        <v>9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SUMAIYA AHMED</dc:creator>
  <cp:lastModifiedBy>SUMAIYA AHMED</cp:lastModifiedBy>
  <dcterms:created xsi:type="dcterms:W3CDTF">2026-07-04T16:18:39Z</dcterms:created>
  <dcterms:modified xsi:type="dcterms:W3CDTF">2026-07-05T15:52:01Z</dcterms:modified>
</cp:coreProperties>
</file>